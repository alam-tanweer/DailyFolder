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Work\iCloudDrive\RIT\GCIS 124 Spring 2026\Evaluation\"/>
    </mc:Choice>
  </mc:AlternateContent>
  <xr:revisionPtr revIDLastSave="0" documentId="13_ncr:1_{4413CE68-FDF9-48D1-8CE6-E0F604B8263C}" xr6:coauthVersionLast="47" xr6:coauthVersionMax="47" xr10:uidLastSave="{00000000-0000-0000-0000-000000000000}"/>
  <bookViews>
    <workbookView xWindow="0" yWindow="15" windowWidth="28185" windowHeight="20910" xr2:uid="{00000000-000D-0000-FFFF-FFFF00000000}"/>
  </bookViews>
  <sheets>
    <sheet name="Grading" sheetId="1" r:id="rId1"/>
    <sheet name="Fractions" sheetId="4" r:id="rId2"/>
    <sheet name="Grading Scale" sheetId="5"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4" l="1"/>
  <c r="C3" i="4"/>
  <c r="D3" i="4"/>
  <c r="E3" i="4"/>
  <c r="F3" i="4"/>
  <c r="G3" i="4"/>
  <c r="B7" i="4"/>
  <c r="C7" i="4"/>
  <c r="D7" i="4"/>
  <c r="E7" i="4"/>
  <c r="F7" i="4"/>
  <c r="G7" i="4"/>
  <c r="B8" i="4"/>
  <c r="C8" i="4"/>
  <c r="D8" i="4"/>
  <c r="E8" i="4"/>
  <c r="F8" i="4"/>
  <c r="G8" i="4"/>
  <c r="G6" i="4"/>
  <c r="F6" i="4"/>
  <c r="E6" i="4"/>
  <c r="D6" i="4"/>
  <c r="C6" i="4"/>
  <c r="B6" i="4"/>
  <c r="G5" i="4"/>
  <c r="F5" i="4"/>
  <c r="E5" i="4"/>
  <c r="D5" i="4"/>
  <c r="C5" i="4"/>
  <c r="B5" i="4"/>
  <c r="G4" i="4"/>
  <c r="F4" i="4"/>
  <c r="E4" i="4"/>
  <c r="D4" i="4"/>
  <c r="C4" i="4"/>
  <c r="B4" i="4"/>
  <c r="E3" i="1"/>
  <c r="E4" i="1"/>
  <c r="E5" i="1"/>
  <c r="E6" i="1"/>
  <c r="E7" i="1"/>
  <c r="E8" i="1"/>
  <c r="E9" i="1"/>
  <c r="E10" i="1"/>
  <c r="E11" i="1"/>
  <c r="E12" i="1"/>
  <c r="E13" i="1"/>
  <c r="E2" i="1"/>
</calcChain>
</file>

<file path=xl/sharedStrings.xml><?xml version="1.0" encoding="utf-8"?>
<sst xmlns="http://schemas.openxmlformats.org/spreadsheetml/2006/main" count="68" uniqueCount="67">
  <si>
    <t>Name</t>
  </si>
  <si>
    <t>Palocy,Molly Elizabeth</t>
  </si>
  <si>
    <t>Prinstein,Justin M</t>
  </si>
  <si>
    <t>Cunningham,Hayden</t>
  </si>
  <si>
    <t>Donfack Tazanou,Karl Loic</t>
  </si>
  <si>
    <t>Goonatillake,Anouka Don Anouka Matthew</t>
  </si>
  <si>
    <t>Jancewicz,Theo Lyn</t>
  </si>
  <si>
    <t>Kim,Esther</t>
  </si>
  <si>
    <t>Oladejo,Sadiq Iyanda</t>
  </si>
  <si>
    <t>Pita,Gregory Edward</t>
  </si>
  <si>
    <t>Shimer,Olivia Mae</t>
  </si>
  <si>
    <t>Sudhi,Shriyans</t>
  </si>
  <si>
    <t>Taylor,Noah A</t>
  </si>
  <si>
    <t>git Username</t>
  </si>
  <si>
    <t>hc3155</t>
  </si>
  <si>
    <t>kd-237</t>
  </si>
  <si>
    <t>An0uka1</t>
  </si>
  <si>
    <t>Theo-Jance</t>
  </si>
  <si>
    <t>ek1031-alt</t>
  </si>
  <si>
    <t>Sad837</t>
  </si>
  <si>
    <t>MollyHitsDifferent</t>
  </si>
  <si>
    <t>gregorious-pita</t>
  </si>
  <si>
    <t>JPrinstein</t>
  </si>
  <si>
    <t>oms7462-code</t>
  </si>
  <si>
    <t>shriyanss</t>
  </si>
  <si>
    <t>NoahatCompSci</t>
  </si>
  <si>
    <t>Grade 1 - 50</t>
  </si>
  <si>
    <t>Grade 2 - 50</t>
  </si>
  <si>
    <t>Sum</t>
  </si>
  <si>
    <t>Final</t>
  </si>
  <si>
    <t>Grade</t>
  </si>
  <si>
    <t>Grading Scale</t>
  </si>
  <si>
    <t>Description</t>
  </si>
  <si>
    <t>Exceptional Performance</t>
  </si>
  <si>
    <t>5 (100%)</t>
  </si>
  <si>
    <t>The solution is complete and correct. Instructions were followed completely.
or
The student made a small number of minor errors for the first time, e.g. wrongly named files, output that does not match specifications, etc. A warning should be issued regarding any errors.</t>
  </si>
  <si>
    <t>Competent Performance</t>
  </si>
  <si>
    <t>4 (95%)</t>
  </si>
  <si>
    <t>The solution is functionally complete other than a small number of functional errors. Instructions were followed completely.
or
The solution is complete and correct but the student made a small number of errors that they heve made at least once before, e.g. wrongly named files, output that does not match specifications, etc. An explanation should be issued regarding any of these errors. Instructions were followed completely.</t>
  </si>
  <si>
    <t>Acceptable Performance</t>
  </si>
  <si>
    <t>3 (88%)</t>
  </si>
  <si>
    <t>The solution includes at least 80% of the required functionality and all instructions have been followed.
or
The student's effort is obvious based on the volume of work and commit history, but there are a modest number of errors that range from relatively minor to significant that can be easily fixed by a member of the course staff with minimal effort.</t>
  </si>
  <si>
    <t>Developing Performance</t>
  </si>
  <si>
    <t>2 (75%)</t>
  </si>
  <si>
    <t>The solution includes at least 50% of the required functionality and all instructions have been followed. The student's effort based on volume of work and commit history is obvious. There is at least some attempt to implement the missing functionality. Errors can be easily fixed by a member of the course staff in a short amount of time.</t>
  </si>
  <si>
    <t>Beginning Performance</t>
  </si>
  <si>
    <t>1 (50%)</t>
  </si>
  <si>
    <t>The student began the solution, and there is obvious effort, but more than 50% of the required functionality is missing or broken. This may include code that exists but does not compile and/OR run, but could be fixed with significant effort.</t>
  </si>
  <si>
    <t>Needs Improvements</t>
  </si>
  <si>
    <t>1 (25%)</t>
  </si>
  <si>
    <t>The solution shows some evidence of effort but does not demonstrate the desired learning outcomes.
Less than 50% of the required functionality is working.
There are serious errors that require significant effort to fix including code that does not compile or that crashes when executed.</t>
  </si>
  <si>
    <t>Unacceptable Performance</t>
  </si>
  <si>
    <t>0 (0%)</t>
  </si>
  <si>
    <t>Little or no effort. Almost all of the required functionality is missing. The commit history shows very little activity on behalf of the student.</t>
  </si>
  <si>
    <t>FeedBack</t>
  </si>
  <si>
    <t>Question 1
Part 1:
Fuel efficiency is a calculated value and should not be stored as a directly settable field. Providing a setter would allow invalid or arbitrary values. Instead, implement a getFuelEfficiency() method that returns the value computed from the appropriate formula.
Part 4:
Abstract methods/classes in UML should be indicated using the &lt;&lt;abstract&gt;&gt; notation (or italicized method/class names, depending on UML style).
Also note that VehicleDemo does not extend Vehicle; it uses it. This relationship should be shown as a weak association/dependency link rather than inheritance.</t>
  </si>
  <si>
    <t>Question 1
Part 3:
The logic to determine the Vehicle with the highest fuel efficiency is missing in VehicleDemo. 
This value must be calculated programmatically using your array and a loop. It should not be hardcoded.
Part 4:
The UML arrow notation is incorrect. An inheritance (extends) relationship must be shown with a closed arrow pointing to the parent class.</t>
  </si>
  <si>
    <t>Question 1
Part 3:
There is no need to override toString() and equals() in the child classes if the parent class implementation already provides the correct behavior.
Additionally, your equals() method currently compares only fuel efficiency. It should also verify that the Vehicle names are equal.
Part 4:
The VehicleDemo class is missing from the UML diagram and should be included.</t>
  </si>
  <si>
    <t>Question 1
Part 4:
VehicleDemo Class uses Vehicle. This relationship should be shown as a weak association/dependency link rather than inheritance.</t>
  </si>
  <si>
    <t>Question 1
Part 1:
For Car, Truck, and Van, fuel efficiency should be calculated through a getter method rather than inside the constructor. Using a getter ensures the value is computed dynamically based on relevant criteria (such as passenger count or cargo weight) appropriate to each Vehicle type.
Part 4:
The UML diagram is incorrect. Please review the class notes or reach out to me if you need clarification on proper UML notation.</t>
  </si>
  <si>
    <t>Question 2
Part 1:
When your program expects input from the user, you should display 
a prompt message indicating what the user should enter. Without a prompt, the user has no indication that input is required or what value is expected.</t>
  </si>
  <si>
    <t>Question 1
Part 1:
Fuel efficiency is a calculated value and should not be stored as a directly settable field. Providing a setter allows invalid or arbitrary values to be assigned. Instead, implement a getFuelEfficiency() method that computes and returns the value using the appropriate formula.
In the Van and Truck classes, setRating is being called in the constructor while fuel efficiency is also computed in calculateFuelEfficiency(). This duplicates work. The setter should be removed, and fuel efficiency should be derived only through calculateFuelEfficiency().
Part 4:
VehicleDemo does not extend Vehicle; it uses it. This relationship should be represented in UML as a weak association/dependency link with an open arrow, not as an inheritance relationship.
Question 2
Part 1:
When your program expects user input, it should display a prompt describing what the user needs to enter. Without a prompt, the user has no indication that input is required or what value is expected.</t>
  </si>
  <si>
    <t>Question 1
Part 1:
Vehicle -&gt; fuelEfficiency() should be declared as an abstract method. Most of the required implementation for this part is missing.
Question 2
The program is incomplete. A majority of the required implementation is missing.</t>
  </si>
  <si>
    <t>Question 1
Part 1:
A better design would use Vehicle as an abstract class. Common attributes (such as name) and shared methods (getName(), toString(), and equals()) should be implemented in the parent class so that child classes can inherit them.
Part 2:
The following methods should not be declared in the Vehicle interface. They are already defined in the Object class, which every class inherits. Instead, you should override them in your classes to provide specific behavior:
public boolean equals(Object obj);
public String toString();
The equals() method is also missing in the Truck and Van classes.
Part 3:
The implementation of the VehicleDemo class is incomplete.
Question 2
The program is incomplete. A majority of the required implementation is missing.</t>
  </si>
  <si>
    <t>Question 1
Part 1:
You declared the class as abstract, but no abstract method is defined. getEffic() should be declared as an abstract method.
Fuel efficiency is currently being set in the constructor, which limits flexibility. Instead, fuel efficiency should be derived through a getFuelEfficiency() method using the appropriate parameters for each Vehicle type.
Part 2:
The equals() method is implemented incorrectly. The method signature must be:
public boolean equals(Object other)
Part 3:
This part should have been implemented in the VehicleDemo class as required. In addition, your program does not print the Vehicle with the highest fuel efficiency.
Part 4:
The abstract notation for the Vehicle class is incorrect in the UML diagram. It should appear in the top section where the class name is defined.</t>
  </si>
  <si>
    <t>Question 1
Part 1:
There is no need to override toString() and equals() in the child classes if the parent class implementation already provides the correct behavior.
In the Car class, you calculate this.erating = miles / gallons, but the values for miles and gallons are never assigned. The same issue appears in the Truck and Van classes — the required inputs for fuel efficiency are not properly initialized.
Part 2:
The equals() method implementation is missing. The program is currently using the default Object.equals() behavior, which is incorrect. The method should compare both the Vehicle name and fuel efficiency.
Part 3:
VehicleDemo is only partially implemented.
Part 4:
The UML diagram is incomplete. The child classes are missing.</t>
  </si>
  <si>
    <t>Part 1:
The object-oriented design is not applied correctly. Common attributes such as name and fuel efficiency, along with shared methods like getName(), should be defined in the abstract Vehicle class so they can be inherited by all subclasses.
Part 2:
The equals() method is commented out and would not compile as written. Comparing strings using this.name == other.name is incorrect. You must first cast other to a Vehicle type and then compare names using .equals().
Part 4:
The UML arrow used to show the dependency for VehicleDemo is incorrect. This is a weak dependency and should be represented with a dashed 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</si>
</sst>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indexed="8"/>
      <name val="Calibri"/>
      <family val="2"/>
      <scheme val="minor"/>
    </font>
    <font>
      <b/>
      <sz val="10"/>
      <name val="Calibri"/>
      <family val="2"/>
    </font>
    <font>
      <b/>
      <sz val="10"/>
      <name val="Calibri"/>
      <family val="2"/>
    </font>
    <font>
      <sz val="11"/>
      <color indexed="8"/>
      <name val="Calibri"/>
      <family val="2"/>
      <scheme val="minor"/>
    </font>
    <font>
      <b/>
      <sz val="11"/>
      <color indexed="8"/>
      <name val="Calibri"/>
      <family val="2"/>
      <scheme val="minor"/>
    </font>
  </fonts>
  <fills count="4">
    <fill>
      <patternFill patternType="none"/>
    </fill>
    <fill>
      <patternFill patternType="gray125"/>
    </fill>
    <fill>
      <patternFill patternType="solid">
        <fgColor theme="8" tint="0.59999389629810485"/>
        <bgColor indexed="64"/>
      </patternFill>
    </fill>
    <fill>
      <patternFill patternType="solid">
        <fgColor theme="9"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cellStyleXfs>
  <cellXfs count="11">
    <xf numFmtId="0" fontId="0" fillId="0" borderId="0" xfId="0"/>
    <xf numFmtId="0" fontId="0" fillId="0" borderId="0" xfId="0" applyAlignment="1">
      <alignment horizontal="left" vertical="top" wrapText="1"/>
    </xf>
    <xf numFmtId="9" fontId="0" fillId="0" borderId="0" xfId="0" applyNumberFormat="1" applyAlignment="1">
      <alignment horizontal="left" vertical="top" wrapText="1"/>
    </xf>
    <xf numFmtId="0" fontId="4" fillId="2" borderId="0" xfId="0" applyFont="1" applyFill="1" applyAlignment="1">
      <alignment horizontal="left" vertical="top" wrapText="1"/>
    </xf>
    <xf numFmtId="0" fontId="4" fillId="2" borderId="0" xfId="0" applyFont="1" applyFill="1"/>
    <xf numFmtId="9" fontId="4" fillId="2" borderId="0" xfId="0" applyNumberFormat="1" applyFont="1" applyFill="1"/>
    <xf numFmtId="0" fontId="2" fillId="0" borderId="1" xfId="0" applyFont="1" applyBorder="1" applyAlignment="1">
      <alignment vertical="top"/>
    </xf>
    <xf numFmtId="0" fontId="1" fillId="0" borderId="1" xfId="0" applyFont="1" applyBorder="1" applyAlignment="1">
      <alignment vertical="top"/>
    </xf>
    <xf numFmtId="0" fontId="0" fillId="0" borderId="0" xfId="0" applyAlignment="1">
      <alignment vertical="top"/>
    </xf>
    <xf numFmtId="0" fontId="0" fillId="0" borderId="0" xfId="0" applyAlignment="1">
      <alignment vertical="top" wrapText="1"/>
    </xf>
    <xf numFmtId="0" fontId="0" fillId="3" borderId="0" xfId="0" applyFill="1" applyAlignment="1">
      <alignment vertical="top"/>
    </xf>
  </cellXfs>
  <cellStyles count="2">
    <cellStyle name="Normal" xfId="0" builtinId="0"/>
    <cellStyle name="Normal 2" xfId="1" xr:uid="{40CA8281-389A-415C-A831-AB0150B4A67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3"/>
  <sheetViews>
    <sheetView tabSelected="1" topLeftCell="A10" workbookViewId="0">
      <selection activeCell="G13" sqref="G13"/>
    </sheetView>
  </sheetViews>
  <sheetFormatPr defaultRowHeight="15" x14ac:dyDescent="0.25"/>
  <cols>
    <col min="1" max="1" width="40.28515625" style="8" customWidth="1"/>
    <col min="2" max="2" width="16.85546875" style="8" customWidth="1"/>
    <col min="3" max="3" width="43.28515625" style="8" customWidth="1"/>
    <col min="4" max="4" width="49" style="8" customWidth="1"/>
    <col min="5" max="5" width="18.42578125" style="8" customWidth="1"/>
    <col min="6" max="6" width="16.85546875" style="8" customWidth="1"/>
    <col min="7" max="7" width="63.28515625" style="8" customWidth="1"/>
    <col min="8" max="16384" width="9.140625" style="8"/>
  </cols>
  <sheetData>
    <row r="1" spans="1:7" x14ac:dyDescent="0.25">
      <c r="A1" s="6" t="s">
        <v>0</v>
      </c>
      <c r="B1" s="7" t="s">
        <v>13</v>
      </c>
      <c r="C1" s="8" t="s">
        <v>26</v>
      </c>
      <c r="D1" s="8" t="s">
        <v>27</v>
      </c>
      <c r="E1" s="8" t="s">
        <v>28</v>
      </c>
      <c r="F1" s="8" t="s">
        <v>29</v>
      </c>
      <c r="G1" s="8" t="s">
        <v>54</v>
      </c>
    </row>
    <row r="2" spans="1:7" ht="225" x14ac:dyDescent="0.25">
      <c r="A2" s="10" t="s">
        <v>3</v>
      </c>
      <c r="B2" s="8" t="s">
        <v>14</v>
      </c>
      <c r="C2" s="8">
        <v>48</v>
      </c>
      <c r="D2" s="8">
        <v>50</v>
      </c>
      <c r="E2" s="8">
        <f>SUM(C2,D2)</f>
        <v>98</v>
      </c>
      <c r="G2" s="9" t="s">
        <v>55</v>
      </c>
    </row>
    <row r="3" spans="1:7" ht="405" x14ac:dyDescent="0.25">
      <c r="A3" s="10" t="s">
        <v>4</v>
      </c>
      <c r="B3" s="8" t="s">
        <v>15</v>
      </c>
      <c r="C3" s="8">
        <v>40</v>
      </c>
      <c r="D3" s="8">
        <v>22</v>
      </c>
      <c r="E3" s="8">
        <f t="shared" ref="E3:E13" si="0">SUM(C3,D3)</f>
        <v>62</v>
      </c>
      <c r="G3" s="9" t="s">
        <v>63</v>
      </c>
    </row>
    <row r="4" spans="1:7" ht="240" x14ac:dyDescent="0.25">
      <c r="A4" s="10" t="s">
        <v>5</v>
      </c>
      <c r="B4" s="8" t="s">
        <v>16</v>
      </c>
      <c r="C4" s="8">
        <v>39</v>
      </c>
      <c r="D4" s="8">
        <v>50</v>
      </c>
      <c r="E4" s="8">
        <f t="shared" si="0"/>
        <v>89</v>
      </c>
      <c r="G4" s="9" t="s">
        <v>66</v>
      </c>
    </row>
    <row r="5" spans="1:7" ht="180" x14ac:dyDescent="0.25">
      <c r="A5" s="10" t="s">
        <v>6</v>
      </c>
      <c r="B5" s="8" t="s">
        <v>17</v>
      </c>
      <c r="C5" s="8">
        <v>48</v>
      </c>
      <c r="D5" s="8">
        <v>50</v>
      </c>
      <c r="E5" s="8">
        <f t="shared" si="0"/>
        <v>98</v>
      </c>
      <c r="G5" s="9" t="s">
        <v>56</v>
      </c>
    </row>
    <row r="6" spans="1:7" ht="150" x14ac:dyDescent="0.25">
      <c r="A6" s="10" t="s">
        <v>7</v>
      </c>
      <c r="B6" s="8" t="s">
        <v>18</v>
      </c>
      <c r="C6" s="8">
        <v>30</v>
      </c>
      <c r="D6" s="8">
        <v>20</v>
      </c>
      <c r="E6" s="8">
        <f t="shared" si="0"/>
        <v>50</v>
      </c>
      <c r="G6" s="9" t="s">
        <v>62</v>
      </c>
    </row>
    <row r="7" spans="1:7" ht="345" x14ac:dyDescent="0.25">
      <c r="A7" s="10" t="s">
        <v>8</v>
      </c>
      <c r="B7" s="8" t="s">
        <v>19</v>
      </c>
      <c r="C7" s="8">
        <v>35</v>
      </c>
      <c r="D7" s="8">
        <v>50</v>
      </c>
      <c r="E7" s="8">
        <f t="shared" si="0"/>
        <v>85</v>
      </c>
      <c r="G7" s="9" t="s">
        <v>65</v>
      </c>
    </row>
    <row r="8" spans="1:7" ht="405" x14ac:dyDescent="0.25">
      <c r="A8" s="10" t="s">
        <v>1</v>
      </c>
      <c r="B8" s="8" t="s">
        <v>20</v>
      </c>
      <c r="C8" s="8">
        <v>43</v>
      </c>
      <c r="D8" s="8">
        <v>50</v>
      </c>
      <c r="E8" s="8">
        <f t="shared" si="0"/>
        <v>93</v>
      </c>
      <c r="G8" s="9" t="s">
        <v>64</v>
      </c>
    </row>
    <row r="9" spans="1:7" ht="180" x14ac:dyDescent="0.25">
      <c r="A9" s="10" t="s">
        <v>9</v>
      </c>
      <c r="B9" s="8" t="s">
        <v>21</v>
      </c>
      <c r="C9" s="8">
        <v>44</v>
      </c>
      <c r="D9" s="8">
        <v>50</v>
      </c>
      <c r="E9" s="8">
        <f t="shared" si="0"/>
        <v>94</v>
      </c>
      <c r="G9" s="9" t="s">
        <v>59</v>
      </c>
    </row>
    <row r="10" spans="1:7" ht="75" x14ac:dyDescent="0.25">
      <c r="A10" s="10" t="s">
        <v>2</v>
      </c>
      <c r="B10" s="8" t="s">
        <v>22</v>
      </c>
      <c r="C10" s="8">
        <v>48</v>
      </c>
      <c r="D10" s="8">
        <v>50</v>
      </c>
      <c r="E10" s="8">
        <f t="shared" si="0"/>
        <v>98</v>
      </c>
      <c r="G10" s="9" t="s">
        <v>58</v>
      </c>
    </row>
    <row r="11" spans="1:7" ht="180" x14ac:dyDescent="0.25">
      <c r="A11" s="10" t="s">
        <v>10</v>
      </c>
      <c r="B11" s="8" t="s">
        <v>23</v>
      </c>
      <c r="C11" s="8">
        <v>48</v>
      </c>
      <c r="D11" s="8">
        <v>50</v>
      </c>
      <c r="E11" s="8">
        <f t="shared" si="0"/>
        <v>98</v>
      </c>
      <c r="G11" s="9" t="s">
        <v>57</v>
      </c>
    </row>
    <row r="12" spans="1:7" ht="105" x14ac:dyDescent="0.25">
      <c r="A12" s="10" t="s">
        <v>11</v>
      </c>
      <c r="B12" s="8" t="s">
        <v>24</v>
      </c>
      <c r="C12" s="8">
        <v>50</v>
      </c>
      <c r="D12" s="8">
        <v>50</v>
      </c>
      <c r="E12" s="8">
        <f t="shared" si="0"/>
        <v>100</v>
      </c>
      <c r="G12" s="9" t="s">
        <v>60</v>
      </c>
    </row>
    <row r="13" spans="1:7" ht="390" x14ac:dyDescent="0.25">
      <c r="A13" s="10" t="s">
        <v>12</v>
      </c>
      <c r="B13" s="8" t="s">
        <v>25</v>
      </c>
      <c r="C13" s="8">
        <v>46</v>
      </c>
      <c r="D13" s="8">
        <v>50</v>
      </c>
      <c r="E13" s="8">
        <f t="shared" si="0"/>
        <v>96</v>
      </c>
      <c r="G13" s="9" t="s">
        <v>61</v>
      </c>
    </row>
  </sheetData>
  <sortState xmlns:xlrd2="http://schemas.microsoft.com/office/spreadsheetml/2017/richdata2" ref="A2:B19">
    <sortCondition ref="A2:A19"/>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DDE2F-938C-42B6-8B8E-72E583A4E6C4}">
  <dimension ref="A1:G8"/>
  <sheetViews>
    <sheetView workbookViewId="0">
      <selection activeCell="I6" sqref="I6"/>
    </sheetView>
  </sheetViews>
  <sheetFormatPr defaultRowHeight="15" x14ac:dyDescent="0.25"/>
  <sheetData>
    <row r="1" spans="1:7" x14ac:dyDescent="0.25">
      <c r="A1" s="4" t="s">
        <v>30</v>
      </c>
      <c r="B1" s="5">
        <v>0.95</v>
      </c>
      <c r="C1" s="5">
        <v>0.88</v>
      </c>
      <c r="D1" s="5">
        <v>0.75</v>
      </c>
      <c r="E1" s="5">
        <v>0.65</v>
      </c>
      <c r="F1" s="5">
        <v>0.5</v>
      </c>
      <c r="G1" s="5">
        <v>0.25</v>
      </c>
    </row>
    <row r="3" spans="1:7" x14ac:dyDescent="0.25">
      <c r="A3">
        <v>50</v>
      </c>
      <c r="B3">
        <f>A3*0.95</f>
        <v>47.5</v>
      </c>
      <c r="C3">
        <f>A3*0.88</f>
        <v>44</v>
      </c>
      <c r="D3">
        <f>A3*0.75</f>
        <v>37.5</v>
      </c>
      <c r="E3">
        <f>A3*0.65</f>
        <v>32.5</v>
      </c>
      <c r="F3">
        <f>A3*0.5</f>
        <v>25</v>
      </c>
      <c r="G3">
        <f>A3*0.25</f>
        <v>12.5</v>
      </c>
    </row>
    <row r="4" spans="1:7" x14ac:dyDescent="0.25">
      <c r="A4">
        <v>40</v>
      </c>
      <c r="B4">
        <f>A4*0.95</f>
        <v>38</v>
      </c>
      <c r="C4">
        <f>A4*0.88</f>
        <v>35.200000000000003</v>
      </c>
      <c r="D4">
        <f>A4*0.75</f>
        <v>30</v>
      </c>
      <c r="E4">
        <f>A4*0.65</f>
        <v>26</v>
      </c>
      <c r="F4">
        <f>A4*0.5</f>
        <v>20</v>
      </c>
      <c r="G4">
        <f>A4*0.25</f>
        <v>10</v>
      </c>
    </row>
    <row r="5" spans="1:7" x14ac:dyDescent="0.25">
      <c r="A5">
        <v>30</v>
      </c>
      <c r="B5">
        <f t="shared" ref="B5:B6" si="0">A5*0.95</f>
        <v>28.5</v>
      </c>
      <c r="C5">
        <f t="shared" ref="C5:C6" si="1">A5*0.88</f>
        <v>26.4</v>
      </c>
      <c r="D5">
        <f t="shared" ref="D5:D6" si="2">A5*0.75</f>
        <v>22.5</v>
      </c>
      <c r="E5">
        <f t="shared" ref="E5:E6" si="3">A5*0.65</f>
        <v>19.5</v>
      </c>
      <c r="F5">
        <f t="shared" ref="F5:F6" si="4">A5*0.5</f>
        <v>15</v>
      </c>
      <c r="G5">
        <f t="shared" ref="G5:G6" si="5">A5*0.25</f>
        <v>7.5</v>
      </c>
    </row>
    <row r="6" spans="1:7" x14ac:dyDescent="0.25">
      <c r="A6">
        <v>20</v>
      </c>
      <c r="B6">
        <f t="shared" si="0"/>
        <v>19</v>
      </c>
      <c r="C6">
        <f t="shared" si="1"/>
        <v>17.600000000000001</v>
      </c>
      <c r="D6">
        <f t="shared" si="2"/>
        <v>15</v>
      </c>
      <c r="E6">
        <f t="shared" si="3"/>
        <v>13</v>
      </c>
      <c r="F6">
        <f t="shared" si="4"/>
        <v>10</v>
      </c>
      <c r="G6">
        <f t="shared" si="5"/>
        <v>5</v>
      </c>
    </row>
    <row r="7" spans="1:7" x14ac:dyDescent="0.25">
      <c r="A7">
        <v>15</v>
      </c>
      <c r="B7">
        <f t="shared" ref="B7:B8" si="6">A7*0.95</f>
        <v>14.25</v>
      </c>
      <c r="C7">
        <f t="shared" ref="C7:C8" si="7">A7*0.88</f>
        <v>13.2</v>
      </c>
      <c r="D7">
        <f t="shared" ref="D7:D8" si="8">A7*0.75</f>
        <v>11.25</v>
      </c>
      <c r="E7">
        <f t="shared" ref="E7:E8" si="9">A7*0.65</f>
        <v>9.75</v>
      </c>
      <c r="F7">
        <f t="shared" ref="F7:F8" si="10">A7*0.5</f>
        <v>7.5</v>
      </c>
      <c r="G7">
        <f t="shared" ref="G7:G8" si="11">A7*0.25</f>
        <v>3.75</v>
      </c>
    </row>
    <row r="8" spans="1:7" x14ac:dyDescent="0.25">
      <c r="A8">
        <v>10</v>
      </c>
      <c r="B8">
        <f t="shared" si="6"/>
        <v>9.5</v>
      </c>
      <c r="C8">
        <f t="shared" si="7"/>
        <v>8.8000000000000007</v>
      </c>
      <c r="D8">
        <f t="shared" si="8"/>
        <v>7.5</v>
      </c>
      <c r="E8">
        <f t="shared" si="9"/>
        <v>6.5</v>
      </c>
      <c r="F8">
        <f t="shared" si="10"/>
        <v>5</v>
      </c>
      <c r="G8">
        <f t="shared" si="11"/>
        <v>2.5</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657E7-058E-47EA-9E7C-EF9D8C29EE78}">
  <dimension ref="A1:C12"/>
  <sheetViews>
    <sheetView workbookViewId="0">
      <selection activeCell="C4" sqref="C4"/>
    </sheetView>
  </sheetViews>
  <sheetFormatPr defaultRowHeight="15" x14ac:dyDescent="0.25"/>
  <cols>
    <col min="1" max="1" width="33.42578125" style="1" customWidth="1"/>
    <col min="2" max="2" width="23.7109375" style="1" customWidth="1"/>
    <col min="3" max="3" width="104" style="1" customWidth="1"/>
  </cols>
  <sheetData>
    <row r="1" spans="1:3" x14ac:dyDescent="0.25">
      <c r="A1" s="3" t="s">
        <v>30</v>
      </c>
      <c r="B1" s="3" t="s">
        <v>31</v>
      </c>
      <c r="C1" s="3" t="s">
        <v>32</v>
      </c>
    </row>
    <row r="3" spans="1:3" ht="60" x14ac:dyDescent="0.25">
      <c r="A3" s="1" t="s">
        <v>33</v>
      </c>
      <c r="B3" s="1" t="s">
        <v>34</v>
      </c>
      <c r="C3" s="1" t="s">
        <v>35</v>
      </c>
    </row>
    <row r="4" spans="1:3" ht="90" x14ac:dyDescent="0.25">
      <c r="A4" s="1" t="s">
        <v>36</v>
      </c>
      <c r="B4" s="1" t="s">
        <v>37</v>
      </c>
      <c r="C4" s="1" t="s">
        <v>38</v>
      </c>
    </row>
    <row r="5" spans="1:3" ht="75" x14ac:dyDescent="0.25">
      <c r="A5" s="1" t="s">
        <v>39</v>
      </c>
      <c r="B5" s="1" t="s">
        <v>40</v>
      </c>
      <c r="C5" s="1" t="s">
        <v>41</v>
      </c>
    </row>
    <row r="6" spans="1:3" ht="60" x14ac:dyDescent="0.25">
      <c r="A6" s="1" t="s">
        <v>42</v>
      </c>
      <c r="B6" s="1" t="s">
        <v>43</v>
      </c>
      <c r="C6" s="1" t="s">
        <v>44</v>
      </c>
    </row>
    <row r="7" spans="1:3" ht="45" x14ac:dyDescent="0.25">
      <c r="A7" s="1" t="s">
        <v>45</v>
      </c>
      <c r="B7" s="1" t="s">
        <v>46</v>
      </c>
      <c r="C7" s="1" t="s">
        <v>47</v>
      </c>
    </row>
    <row r="8" spans="1:3" ht="90" x14ac:dyDescent="0.25">
      <c r="A8" s="1" t="s">
        <v>48</v>
      </c>
      <c r="B8" s="1" t="s">
        <v>49</v>
      </c>
      <c r="C8" s="1" t="s">
        <v>50</v>
      </c>
    </row>
    <row r="9" spans="1:3" ht="30" x14ac:dyDescent="0.25">
      <c r="A9" s="1" t="s">
        <v>51</v>
      </c>
      <c r="B9" s="1" t="s">
        <v>52</v>
      </c>
      <c r="C9" s="1" t="s">
        <v>53</v>
      </c>
    </row>
    <row r="12" spans="1:3" x14ac:dyDescent="0.25">
      <c r="B12" s="2"/>
      <c r="C12"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Grading</vt:lpstr>
      <vt:lpstr>Fractions</vt:lpstr>
      <vt:lpstr>Grading Scale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Tanweer Alam</cp:lastModifiedBy>
  <dcterms:created xsi:type="dcterms:W3CDTF">2023-08-24T18:47:47Z</dcterms:created>
  <dcterms:modified xsi:type="dcterms:W3CDTF">2026-02-16T21:29:00Z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d54f1a3-9ed5-415d-ba95-38401c4b8817_Enabled">
    <vt:lpwstr>true</vt:lpwstr>
  </property>
  <property fmtid="{D5CDD505-2E9C-101B-9397-08002B2CF9AE}" pid="3" name="MSIP_Label_5d54f1a3-9ed5-415d-ba95-38401c4b8817_SetDate">
    <vt:lpwstr>2023-08-28T01:15:56Z</vt:lpwstr>
  </property>
  <property fmtid="{D5CDD505-2E9C-101B-9397-08002B2CF9AE}" pid="4" name="MSIP_Label_5d54f1a3-9ed5-415d-ba95-38401c4b8817_Method">
    <vt:lpwstr>Standard</vt:lpwstr>
  </property>
  <property fmtid="{D5CDD505-2E9C-101B-9397-08002B2CF9AE}" pid="5" name="MSIP_Label_5d54f1a3-9ed5-415d-ba95-38401c4b8817_Name">
    <vt:lpwstr>Peraton Proprietary</vt:lpwstr>
  </property>
  <property fmtid="{D5CDD505-2E9C-101B-9397-08002B2CF9AE}" pid="6" name="MSIP_Label_5d54f1a3-9ed5-415d-ba95-38401c4b8817_SiteId">
    <vt:lpwstr>2a6ae295-f13d-4948-ba78-332742ce9097</vt:lpwstr>
  </property>
  <property fmtid="{D5CDD505-2E9C-101B-9397-08002B2CF9AE}" pid="7" name="MSIP_Label_5d54f1a3-9ed5-415d-ba95-38401c4b8817_ActionId">
    <vt:lpwstr>10d55ea0-8e20-46ad-a7ad-c8238a4f8e1c</vt:lpwstr>
  </property>
  <property fmtid="{D5CDD505-2E9C-101B-9397-08002B2CF9AE}" pid="8" name="MSIP_Label_5d54f1a3-9ed5-415d-ba95-38401c4b8817_ContentBits">
    <vt:lpwstr>1</vt:lpwstr>
  </property>
</Properties>
</file>