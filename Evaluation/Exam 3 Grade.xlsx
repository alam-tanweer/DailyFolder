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GIT\00 daily\DailyFolder\Evaluation\"/>
    </mc:Choice>
  </mc:AlternateContent>
  <xr:revisionPtr revIDLastSave="0" documentId="13_ncr:1_{24806EE8-86E1-47AA-AE1E-CDE594B37A13}" xr6:coauthVersionLast="47" xr6:coauthVersionMax="47" xr10:uidLastSave="{00000000-0000-0000-0000-000000000000}"/>
  <bookViews>
    <workbookView xWindow="19425" yWindow="210" windowWidth="31665" windowHeight="18600" xr2:uid="{00000000-000D-0000-FFFF-FFFF00000000}"/>
  </bookViews>
  <sheets>
    <sheet name="Grading" sheetId="1" r:id="rId1"/>
    <sheet name="Fractions" sheetId="4" r:id="rId2"/>
    <sheet name="Grading Scal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2" i="1"/>
  <c r="B9" i="4"/>
  <c r="D9" i="4"/>
  <c r="C9" i="4"/>
  <c r="E9" i="4"/>
  <c r="F9" i="4"/>
  <c r="G9" i="4"/>
  <c r="H9" i="4"/>
  <c r="D4" i="4"/>
  <c r="D5" i="4"/>
  <c r="D6" i="4"/>
  <c r="D7" i="4"/>
  <c r="D8" i="4"/>
  <c r="D3" i="4"/>
  <c r="B3" i="4"/>
  <c r="C3" i="4"/>
  <c r="E3" i="4"/>
  <c r="F3" i="4"/>
  <c r="G3" i="4"/>
  <c r="H3" i="4"/>
  <c r="B7" i="4"/>
  <c r="C7" i="4"/>
  <c r="E7" i="4"/>
  <c r="F7" i="4"/>
  <c r="G7" i="4"/>
  <c r="H7" i="4"/>
  <c r="B8" i="4"/>
  <c r="C8" i="4"/>
  <c r="E8" i="4"/>
  <c r="F8" i="4"/>
  <c r="G8" i="4"/>
  <c r="H8" i="4"/>
  <c r="H6" i="4"/>
  <c r="G6" i="4"/>
  <c r="F6" i="4"/>
  <c r="E6" i="4"/>
  <c r="C6" i="4"/>
  <c r="B6" i="4"/>
  <c r="H5" i="4"/>
  <c r="G5" i="4"/>
  <c r="F5" i="4"/>
  <c r="E5" i="4"/>
  <c r="C5" i="4"/>
  <c r="B5" i="4"/>
  <c r="H4" i="4"/>
  <c r="G4" i="4"/>
  <c r="F4" i="4"/>
  <c r="E4" i="4"/>
  <c r="C4" i="4"/>
  <c r="B4" i="4"/>
</calcChain>
</file>

<file path=xl/sharedStrings.xml><?xml version="1.0" encoding="utf-8"?>
<sst xmlns="http://schemas.openxmlformats.org/spreadsheetml/2006/main" count="68" uniqueCount="67">
  <si>
    <t>Name</t>
  </si>
  <si>
    <t>Palocy,Molly Elizabeth</t>
  </si>
  <si>
    <t>Prinstein,Justin M</t>
  </si>
  <si>
    <t>Cunningham,Hayden</t>
  </si>
  <si>
    <t>Donfack Tazanou,Karl Loic</t>
  </si>
  <si>
    <t>Goonatillake,Anouka Don Anouka Matthew</t>
  </si>
  <si>
    <t>Jancewicz,Theo Lyn</t>
  </si>
  <si>
    <t>Kim,Esther</t>
  </si>
  <si>
    <t>Oladejo,Sadiq Iyanda</t>
  </si>
  <si>
    <t>Pita,Gregory Edward</t>
  </si>
  <si>
    <t>Shimer,Olivia Mae</t>
  </si>
  <si>
    <t>Sudhi,Shriyans</t>
  </si>
  <si>
    <t>Taylor,Noah A</t>
  </si>
  <si>
    <t>git Username</t>
  </si>
  <si>
    <t>hc3155</t>
  </si>
  <si>
    <t>kd-237</t>
  </si>
  <si>
    <t>An0uka1</t>
  </si>
  <si>
    <t>Theo-Jance</t>
  </si>
  <si>
    <t>ek1031-alt</t>
  </si>
  <si>
    <t>Sad837</t>
  </si>
  <si>
    <t>MollyHitsDifferent</t>
  </si>
  <si>
    <t>gregorious-pita</t>
  </si>
  <si>
    <t>JPrinstein</t>
  </si>
  <si>
    <t>oms7462-code</t>
  </si>
  <si>
    <t>shriyanss</t>
  </si>
  <si>
    <t>NoahatCompSci</t>
  </si>
  <si>
    <t>Sum</t>
  </si>
  <si>
    <t>Final</t>
  </si>
  <si>
    <t>Grade</t>
  </si>
  <si>
    <t>Grading Scale</t>
  </si>
  <si>
    <t>Description</t>
  </si>
  <si>
    <t>Exceptional Performance</t>
  </si>
  <si>
    <t>5 (100%)</t>
  </si>
  <si>
    <t>The solution is complete and correct. Instructions were followed completely.
or
The student made a small number of minor errors for the first time, e.g. wrongly named files, output that does not match specifications, etc. A warning should be issued regarding any errors.</t>
  </si>
  <si>
    <t>Competent Performance</t>
  </si>
  <si>
    <t>4 (95%)</t>
  </si>
  <si>
    <t>The solution is functionally complete other than a small number of functional errors. Instructions were followed completely.
or
The solution is complete and correct but the student made a small number of errors that they heve made at least once before, e.g. wrongly named files, output that does not match specifications, etc. An explanation should be issued regarding any of these errors. Instructions were followed completely.</t>
  </si>
  <si>
    <t>Acceptable Performance</t>
  </si>
  <si>
    <t>3 (88%)</t>
  </si>
  <si>
    <t>The solution includes at least 80% of the required functionality and all instructions have been followed.
or
The student's effort is obvious based on the volume of work and commit history, but there are a modest number of errors that range from relatively minor to significant that can be easily fixed by a member of the course staff with minimal effort.</t>
  </si>
  <si>
    <t>Developing Performance</t>
  </si>
  <si>
    <t>2 (75%)</t>
  </si>
  <si>
    <t>The solution includes at least 50% of the required functionality and all instructions have been followed. The student's effort based on volume of work and commit history is obvious. There is at least some attempt to implement the missing functionality. Errors can be easily fixed by a member of the course staff in a short amount of time.</t>
  </si>
  <si>
    <t>Beginning Performance</t>
  </si>
  <si>
    <t>1 (50%)</t>
  </si>
  <si>
    <t>The student began the solution, and there is obvious effort, but more than 50% of the required functionality is missing or broken. This may include code that exists but does not compile and/OR run, but could be fixed with significant effort.</t>
  </si>
  <si>
    <t>Needs Improvements</t>
  </si>
  <si>
    <t>1 (25%)</t>
  </si>
  <si>
    <t>The solution shows some evidence of effort but does not demonstrate the desired learning outcomes.
Less than 50% of the required functionality is working.
There are serious errors that require significant effort to fix including code that does not compile or that crashes when executed.</t>
  </si>
  <si>
    <t>Unacceptable Performance</t>
  </si>
  <si>
    <t>0 (0%)</t>
  </si>
  <si>
    <t>Little or no effort. Almost all of the required functionality is missing. The commit history shows very little activity on behalf of the student.</t>
  </si>
  <si>
    <t>FeedBack</t>
  </si>
  <si>
    <t>Grade 1 - 40</t>
  </si>
  <si>
    <t>Grade 2 - 40</t>
  </si>
  <si>
    <t>Grade 3 - 20</t>
  </si>
  <si>
    <t>Question 1 -  Java Socket Client Implementation 
Excellent implementation.
Question 2 - Multithreading with coordination
The requirement was to create 5 threads/tasks, but the code only creates 3 tasks.
Sleep time should be random between 1 and 20 seconds, but your code sleeps between 100 and 999 milliseconds.
Question 3 - Sets &amp; Dictionary 
Case-insensitive retrieval not handled
getWords(char letter) does not convert the input letter to lowercase.
If a user calls getWords('T'), it will return null.</t>
  </si>
  <si>
    <t>Question 3 - Sets &amp; Dictionary 
Code works but has follwing issues
getWords() returns a String instead of a data structure.
Retrieval is not case-insensitive because letter is not converted to lowercase.
Lookup is not efficient because it loops through all words each time instead of using a Map&lt;Character, Set&lt;String&gt;&gt;.</t>
  </si>
  <si>
    <t>Question 1 -  Java Socket Client Implementation 
Any resources created should be properly closed.
Resources are not fully closed.
Question 2 - Multithreading with coordination
CountDownLatch is created but never used by the worker threads, so tasks do not wait for a common start trigger.
awaitTermination() is called before shutdown(), so it does not correctly wait for all tasks to complete.
Final message may print before tasks finish. Final message may print before tasks finish.
Question 3 - Sets &amp; Dictionary 
Retrieval is not case-insensitive because letter is not converted to lowercase.
getWords() loops through all words each time, lookup could be optimized with a map.</t>
  </si>
  <si>
    <t>Question 1 -  Java Socket Client Implementation 
The required prompt was not used. It prints &gt;&gt;&gt; instead of: Either enter a value or Type EXIT to end:
It is more about usability and readability aspect as user may not know what program as expecting to do.
Question 2 - Multithreading with coordination
Your code does not use a start trigger such as CountDownLatch, so threads start as they are started rather 
than waiting until all are ready.
Question 3 - Sets &amp; Dictionary 
Excellent implementation</t>
  </si>
  <si>
    <t>Question 1 -  Java Socket Client Implementation 
EXIT check is case-sensitive; requirement was case-insensitive. Server check for case insensitve "EXIT", will cause error
Scanner is not closed.
Question 2 - Multithreading with coordination
The CountDownLatch is not used perfectly as a start trigger. Because countDown() happens inside the same loop that submits tasks, some tasks may begin after enough countdowns occur,
rather than all being fully submitted first. However, the core coordination/concurrency idea is mostly correct.
Question 3 - Sets &amp; Dictionary 
getWords() is not case-insensitive because letter is not converted to lowercase.
Lookup scans the full set each time rather than using a map organized by starting letter.</t>
  </si>
  <si>
    <t>Question 1 -  Java Socket Client Implementation 
Excellent Implementation
Question 2 - Multithreading with coordination
Sleep duration is less than required; it uses 0–999 milliseconds instead of 1–20 seconds. Also, finish.countDown() happens before printing the completed message, 
so the final message could theoretically print before the last completed message.
Question 3 - Sets &amp; Dictionary
Returns an array instead of a set/list-style collection, does not handle uppercase input letters, 
and scans all words each time rather than using a map for efficient retrieval.
Problem has compilation issue at return words.toArray(String[]);
correct syntax is return words.toArray(new String[words.size()]);</t>
  </si>
  <si>
    <t>Question 1 -  Java Socket Client Implementation 
Empty catch block hides errors.
Use  System.out.println(in.nextLine ()) insted of System.out.println(in.next());
in.next() prints tokens instead of full response lines
Question 2 - Multithreading with coordination
Excellent solution
Question 3 - Sets &amp; Dictionary 
Retrieval is not case-insensitive because first is not converted to lowercase.
Lookup scans all words each time instead of using a map by starting letter would be a better solution</t>
  </si>
  <si>
    <t>Question 1 -  Java Socket Client Implementation 
Does not send EXIT to the server, so the server may never know to stop and respond. After entering Exit, 
You code hangs. You must send the Exit command before reading the resonse.
You are using scanner.next() instead of nextLine(), so multi-word input would not work.
Question 2 - Multithreading with coordination
There are several issues with the code
1. The started message is inside for(int i = 0; i &lt; i; i++), which never runs. You are calling thread::run, which has 
   no impact with Executor service
2. Does not print completed messages and Does not wait for all tasks to finish.
3. Final message "All tasks completed." is missing.
4. Program does not print required output.</t>
  </si>
  <si>
    <t>Question 1 -  Java Socket Client Implementation 
1. Prompts for messages should be a continuous input loop.
2. Check for Exit should be case insensitive. 
3. Exit command is not send to Server. For server response, you need to 
read atleast 2 incoming message.
Question 2 - Multithreading with coordination
Good Implementation.
Question 3 - Sets &amp; Dictionary 
There are several issues with the Implementation
1. Cannot use enhanced for-loop directly on a String: for (String w : phrase).
2. Cannot use enhanced for-loop on a char: for(char chr : letter).
3. char does not have .equals().
4. getWords() declares return type String but returns nothing.
5. Does not retrieve words by starting letter.
6. Program does not compile</t>
  </si>
  <si>
    <t>Question 1 -  Java Socket Client Implementation 
1. Reads only one response line instead of both server response lines.
2. Code creates a new Scanner and PrintWriter inside the loop each time. Not an effcient programming
3. resources are not consistently closed.
Question 2 - Multithreading with coordination
Couple of issues with the Code1. 
1 exec.shutdown() is called after awaitTermination(), so the program may never terminate correctly.
2 Final message print repeatedly inside the while loop. Don't need to call await command in the loop. Sequence would be
   await()  --&gt; Ensures that wait till thread is called.
   print final message.
4. Incorrect usage of latch. Latch is used more like an end condition, not a start coordination mechanism.
Question 3 - Sets &amp; Dictionary 
1. Following section of code is not correctly implemented. It will return all the words in the phrase.
        for(String word : set){
            if (word.startsWith(sb.toString()));{
                set2.add(word);
            }
        }
2. Result is not as per expectation.</t>
  </si>
  <si>
    <t>Question 1 -  Java Socket Client Implementation 
Program is incomplete. There is no steps to send the information to server and receive response. Some of the issue with code
1. Socket is created but never connected to localhost:12345. Attempts to get input/output streams from an unconnected socket.
2. User prompt to capture user input is missing.
3. No loop to send input. No EXIT handling and No server response reading/output.
Question 2 - Multithreading with coordination
I have found several issues with the code as follows
1. gate.await() is inside the task creation loop, so the program will block on the first iteration.
2. countDown() happens after await(), resulting in incomplete latch logic
3. Worker task does not print start/completion messages.
4. Sleep time is fixed at 100 ms, not random 1–20 seconds. Tasks are not coordinated to start together.
Question 3 - Sets &amp; Dictionary 
1. Incomplete program.
2. GetWords is missing Implementation
3. Invalid syntax: new String[];, while(True), and code outside a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</si>
</sst>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1"/>
      <color theme="1"/>
      <name val="Calibri"/>
      <family val="2"/>
      <scheme val="minor"/>
    </font>
    <font>
      <b/>
      <sz val="10"/>
      <name val="Calibri"/>
      <family val="2"/>
    </font>
    <font>
      <sz val="11"/>
      <color indexed="8"/>
      <name val="Calibri"/>
      <family val="2"/>
      <scheme val="minor"/>
    </font>
    <font>
      <b/>
      <sz val="11"/>
      <color indexed="8"/>
      <name val="Calibri"/>
      <family val="2"/>
      <scheme val="minor"/>
    </font>
    <font>
      <sz val="11"/>
      <color rgb="FFFF0000"/>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14">
    <xf numFmtId="0" fontId="0" fillId="0" borderId="0" xfId="0"/>
    <xf numFmtId="0" fontId="0" fillId="0" borderId="0" xfId="0" applyAlignment="1">
      <alignment horizontal="left" vertical="top" wrapText="1"/>
    </xf>
    <xf numFmtId="9" fontId="0" fillId="0" borderId="0" xfId="0" applyNumberFormat="1" applyAlignment="1">
      <alignment horizontal="left" vertical="top" wrapText="1"/>
    </xf>
    <xf numFmtId="0" fontId="4" fillId="2" borderId="0" xfId="0" applyFont="1" applyFill="1" applyAlignment="1">
      <alignment horizontal="left" vertical="top" wrapText="1"/>
    </xf>
    <xf numFmtId="0" fontId="4" fillId="2" borderId="0" xfId="0" applyFont="1" applyFill="1"/>
    <xf numFmtId="9" fontId="4" fillId="2" borderId="0" xfId="0" applyNumberFormat="1" applyFont="1" applyFill="1"/>
    <xf numFmtId="0" fontId="0" fillId="0" borderId="0" xfId="0" applyAlignment="1">
      <alignment vertical="top"/>
    </xf>
    <xf numFmtId="0" fontId="0" fillId="0" borderId="0" xfId="0" applyAlignment="1">
      <alignment vertical="top" wrapText="1"/>
    </xf>
    <xf numFmtId="0" fontId="2" fillId="3" borderId="1" xfId="0" applyFont="1" applyFill="1" applyBorder="1" applyAlignment="1">
      <alignment vertical="top"/>
    </xf>
    <xf numFmtId="0" fontId="4" fillId="3" borderId="0" xfId="0" applyFont="1" applyFill="1" applyAlignment="1">
      <alignment vertical="top"/>
    </xf>
    <xf numFmtId="0" fontId="1" fillId="0" borderId="0" xfId="0" applyFont="1" applyAlignment="1">
      <alignment vertical="top"/>
    </xf>
    <xf numFmtId="0" fontId="0" fillId="4" borderId="0" xfId="0" applyFill="1" applyAlignment="1">
      <alignment vertical="top"/>
    </xf>
    <xf numFmtId="0" fontId="5" fillId="0" borderId="0" xfId="0" applyFont="1" applyAlignment="1">
      <alignment vertical="top"/>
    </xf>
    <xf numFmtId="0" fontId="0" fillId="5" borderId="0" xfId="0" applyFill="1" applyAlignment="1">
      <alignment vertical="top"/>
    </xf>
  </cellXfs>
  <cellStyles count="2">
    <cellStyle name="Normal" xfId="0" builtinId="0"/>
    <cellStyle name="Normal 2" xfId="1" xr:uid="{40CA8281-389A-415C-A831-AB0150B4A6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topLeftCell="A11" workbookViewId="0">
      <selection activeCell="H13" sqref="H13"/>
    </sheetView>
  </sheetViews>
  <sheetFormatPr defaultRowHeight="15" x14ac:dyDescent="0.25"/>
  <cols>
    <col min="1" max="1" width="40.28515625" style="6" customWidth="1"/>
    <col min="2" max="2" width="20.85546875" style="6" customWidth="1"/>
    <col min="3" max="3" width="14.42578125" style="6" customWidth="1"/>
    <col min="4" max="4" width="14" style="6" customWidth="1"/>
    <col min="5" max="5" width="22.42578125" style="6" customWidth="1"/>
    <col min="6" max="6" width="18.42578125" style="6" customWidth="1"/>
    <col min="7" max="7" width="16.85546875" style="6" customWidth="1"/>
    <col min="8" max="8" width="92" style="6" customWidth="1"/>
    <col min="9" max="16384" width="9.140625" style="6"/>
  </cols>
  <sheetData>
    <row r="1" spans="1:8" x14ac:dyDescent="0.25">
      <c r="A1" s="8" t="s">
        <v>0</v>
      </c>
      <c r="B1" s="8" t="s">
        <v>13</v>
      </c>
      <c r="C1" s="9" t="s">
        <v>53</v>
      </c>
      <c r="D1" s="9" t="s">
        <v>54</v>
      </c>
      <c r="E1" s="9" t="s">
        <v>55</v>
      </c>
      <c r="F1" s="9" t="s">
        <v>26</v>
      </c>
      <c r="G1" s="9" t="s">
        <v>27</v>
      </c>
      <c r="H1" s="9" t="s">
        <v>52</v>
      </c>
    </row>
    <row r="2" spans="1:8" ht="210" x14ac:dyDescent="0.25">
      <c r="A2" s="11" t="s">
        <v>3</v>
      </c>
      <c r="B2" s="13" t="s">
        <v>14</v>
      </c>
      <c r="C2" s="6">
        <v>40</v>
      </c>
      <c r="D2" s="6">
        <v>38</v>
      </c>
      <c r="E2" s="6">
        <v>19</v>
      </c>
      <c r="F2" s="6">
        <f>SUM(C2:E2)</f>
        <v>97</v>
      </c>
      <c r="H2" s="7" t="s">
        <v>56</v>
      </c>
    </row>
    <row r="3" spans="1:8" ht="270" x14ac:dyDescent="0.25">
      <c r="A3" s="11" t="s">
        <v>4</v>
      </c>
      <c r="B3" s="13" t="s">
        <v>15</v>
      </c>
      <c r="C3" s="6">
        <v>32</v>
      </c>
      <c r="D3" s="6">
        <v>40</v>
      </c>
      <c r="E3" s="6">
        <v>10</v>
      </c>
      <c r="F3" s="6">
        <f t="shared" ref="F3:F13" si="0">SUM(C3:E3)</f>
        <v>82</v>
      </c>
      <c r="H3" s="7" t="s">
        <v>64</v>
      </c>
    </row>
    <row r="4" spans="1:8" ht="405" x14ac:dyDescent="0.25">
      <c r="A4" s="11" t="s">
        <v>5</v>
      </c>
      <c r="B4" s="13" t="s">
        <v>16</v>
      </c>
      <c r="C4" s="6">
        <v>37</v>
      </c>
      <c r="D4" s="6">
        <v>30</v>
      </c>
      <c r="E4" s="6">
        <v>12</v>
      </c>
      <c r="F4" s="6">
        <f t="shared" si="0"/>
        <v>79</v>
      </c>
      <c r="H4" s="7" t="s">
        <v>65</v>
      </c>
    </row>
    <row r="5" spans="1:8" ht="210" x14ac:dyDescent="0.25">
      <c r="A5" s="11" t="s">
        <v>6</v>
      </c>
      <c r="B5" s="13" t="s">
        <v>17</v>
      </c>
      <c r="C5" s="6">
        <v>39</v>
      </c>
      <c r="D5" s="6">
        <v>38</v>
      </c>
      <c r="E5" s="6">
        <v>19</v>
      </c>
      <c r="F5" s="6">
        <f t="shared" si="0"/>
        <v>96</v>
      </c>
      <c r="H5" s="7" t="s">
        <v>60</v>
      </c>
    </row>
    <row r="6" spans="1:8" x14ac:dyDescent="0.25">
      <c r="A6" s="12" t="s">
        <v>7</v>
      </c>
      <c r="B6" s="10" t="s">
        <v>18</v>
      </c>
      <c r="F6" s="6">
        <f t="shared" si="0"/>
        <v>0</v>
      </c>
      <c r="H6" s="7"/>
    </row>
    <row r="7" spans="1:8" ht="255" x14ac:dyDescent="0.25">
      <c r="A7" s="11" t="s">
        <v>8</v>
      </c>
      <c r="B7" s="13" t="s">
        <v>19</v>
      </c>
      <c r="C7" s="6">
        <v>32</v>
      </c>
      <c r="D7" s="6">
        <v>26</v>
      </c>
      <c r="E7" s="6">
        <v>20</v>
      </c>
      <c r="F7" s="6">
        <f t="shared" si="0"/>
        <v>78</v>
      </c>
      <c r="H7" s="7" t="s">
        <v>63</v>
      </c>
    </row>
    <row r="8" spans="1:8" ht="345" x14ac:dyDescent="0.25">
      <c r="A8" s="11" t="s">
        <v>1</v>
      </c>
      <c r="B8" s="13" t="s">
        <v>20</v>
      </c>
      <c r="C8" s="6">
        <v>28</v>
      </c>
      <c r="D8" s="6">
        <v>26</v>
      </c>
      <c r="E8" s="6">
        <v>9</v>
      </c>
      <c r="F8" s="6">
        <f t="shared" si="0"/>
        <v>63</v>
      </c>
      <c r="G8" s="6">
        <v>70</v>
      </c>
      <c r="H8" s="7" t="s">
        <v>66</v>
      </c>
    </row>
    <row r="9" spans="1:8" ht="180" x14ac:dyDescent="0.25">
      <c r="A9" s="11" t="s">
        <v>9</v>
      </c>
      <c r="B9" s="13" t="s">
        <v>21</v>
      </c>
      <c r="C9" s="6">
        <v>38</v>
      </c>
      <c r="D9" s="6">
        <v>40</v>
      </c>
      <c r="E9" s="6">
        <v>19</v>
      </c>
      <c r="F9" s="6">
        <f t="shared" si="0"/>
        <v>97</v>
      </c>
      <c r="H9" s="7" t="s">
        <v>62</v>
      </c>
    </row>
    <row r="10" spans="1:8" ht="105" x14ac:dyDescent="0.25">
      <c r="A10" s="11" t="s">
        <v>2</v>
      </c>
      <c r="B10" s="13" t="s">
        <v>22</v>
      </c>
      <c r="C10" s="6">
        <v>40</v>
      </c>
      <c r="D10" s="6">
        <v>40</v>
      </c>
      <c r="E10" s="6">
        <v>17</v>
      </c>
      <c r="F10" s="6">
        <f t="shared" si="0"/>
        <v>97</v>
      </c>
      <c r="H10" s="7" t="s">
        <v>57</v>
      </c>
    </row>
    <row r="11" spans="1:8" ht="225" x14ac:dyDescent="0.25">
      <c r="A11" s="11" t="s">
        <v>10</v>
      </c>
      <c r="B11" s="13" t="s">
        <v>23</v>
      </c>
      <c r="C11" s="6">
        <v>40</v>
      </c>
      <c r="D11" s="6">
        <v>36</v>
      </c>
      <c r="E11" s="6">
        <v>19</v>
      </c>
      <c r="F11" s="6">
        <f t="shared" si="0"/>
        <v>95</v>
      </c>
      <c r="H11" s="7" t="s">
        <v>58</v>
      </c>
    </row>
    <row r="12" spans="1:8" ht="195" x14ac:dyDescent="0.25">
      <c r="A12" s="11" t="s">
        <v>11</v>
      </c>
      <c r="B12" s="13" t="s">
        <v>24</v>
      </c>
      <c r="C12" s="6">
        <v>39</v>
      </c>
      <c r="D12" s="6">
        <v>40</v>
      </c>
      <c r="E12" s="6">
        <v>20</v>
      </c>
      <c r="F12" s="6">
        <f t="shared" si="0"/>
        <v>99</v>
      </c>
      <c r="H12" s="7" t="s">
        <v>59</v>
      </c>
    </row>
    <row r="13" spans="1:8" ht="225" x14ac:dyDescent="0.25">
      <c r="A13" s="11" t="s">
        <v>12</v>
      </c>
      <c r="B13" s="6" t="s">
        <v>25</v>
      </c>
      <c r="C13" s="6">
        <v>40</v>
      </c>
      <c r="D13" s="6">
        <v>38</v>
      </c>
      <c r="E13" s="6">
        <v>18</v>
      </c>
      <c r="F13" s="6">
        <f t="shared" si="0"/>
        <v>96</v>
      </c>
      <c r="H13" s="7" t="s">
        <v>61</v>
      </c>
    </row>
  </sheetData>
  <sortState xmlns:xlrd2="http://schemas.microsoft.com/office/spreadsheetml/2017/richdata2" ref="A2:B19">
    <sortCondition ref="A2:A1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DE2F-938C-42B6-8B8E-72E583A4E6C4}">
  <dimension ref="A1:H9"/>
  <sheetViews>
    <sheetView workbookViewId="0">
      <selection activeCell="E4" sqref="E4"/>
    </sheetView>
  </sheetViews>
  <sheetFormatPr defaultRowHeight="15" x14ac:dyDescent="0.25"/>
  <sheetData>
    <row r="1" spans="1:8" x14ac:dyDescent="0.25">
      <c r="A1" s="4" t="s">
        <v>28</v>
      </c>
      <c r="B1" s="5">
        <v>0.95</v>
      </c>
      <c r="C1" s="5">
        <v>0.88</v>
      </c>
      <c r="D1" s="5">
        <v>0.8</v>
      </c>
      <c r="E1" s="5">
        <v>0.75</v>
      </c>
      <c r="F1" s="5">
        <v>0.65</v>
      </c>
      <c r="G1" s="5">
        <v>0.5</v>
      </c>
      <c r="H1" s="5">
        <v>0.25</v>
      </c>
    </row>
    <row r="3" spans="1:8" x14ac:dyDescent="0.25">
      <c r="A3">
        <v>50</v>
      </c>
      <c r="B3">
        <f>A3*0.95</f>
        <v>47.5</v>
      </c>
      <c r="C3">
        <f>A3*0.88</f>
        <v>44</v>
      </c>
      <c r="D3">
        <f>B3*0.8</f>
        <v>38</v>
      </c>
      <c r="E3">
        <f>A3*0.75</f>
        <v>37.5</v>
      </c>
      <c r="F3">
        <f>A3*0.65</f>
        <v>32.5</v>
      </c>
      <c r="G3">
        <f>A3*0.5</f>
        <v>25</v>
      </c>
      <c r="H3">
        <f>A3*0.25</f>
        <v>12.5</v>
      </c>
    </row>
    <row r="4" spans="1:8" x14ac:dyDescent="0.25">
      <c r="A4">
        <v>40</v>
      </c>
      <c r="B4">
        <f>A4*0.95</f>
        <v>38</v>
      </c>
      <c r="C4">
        <f>A4*0.88</f>
        <v>35.200000000000003</v>
      </c>
      <c r="D4">
        <f t="shared" ref="D4:D9" si="0">B4*0.8</f>
        <v>30.400000000000002</v>
      </c>
      <c r="E4">
        <f>A4*0.75</f>
        <v>30</v>
      </c>
      <c r="F4">
        <f>A4*0.65</f>
        <v>26</v>
      </c>
      <c r="G4">
        <f>A4*0.5</f>
        <v>20</v>
      </c>
      <c r="H4">
        <f>A4*0.25</f>
        <v>10</v>
      </c>
    </row>
    <row r="5" spans="1:8" x14ac:dyDescent="0.25">
      <c r="A5">
        <v>30</v>
      </c>
      <c r="B5">
        <f t="shared" ref="B5:B6" si="1">A5*0.95</f>
        <v>28.5</v>
      </c>
      <c r="C5">
        <f t="shared" ref="C5:C6" si="2">A5*0.88</f>
        <v>26.4</v>
      </c>
      <c r="D5">
        <f t="shared" si="0"/>
        <v>22.8</v>
      </c>
      <c r="E5">
        <f t="shared" ref="E5:E6" si="3">A5*0.75</f>
        <v>22.5</v>
      </c>
      <c r="F5">
        <f t="shared" ref="F5:F6" si="4">A5*0.65</f>
        <v>19.5</v>
      </c>
      <c r="G5">
        <f t="shared" ref="G5:G6" si="5">A5*0.5</f>
        <v>15</v>
      </c>
      <c r="H5">
        <f t="shared" ref="H5:H6" si="6">A5*0.25</f>
        <v>7.5</v>
      </c>
    </row>
    <row r="6" spans="1:8" x14ac:dyDescent="0.25">
      <c r="A6">
        <v>20</v>
      </c>
      <c r="B6">
        <f t="shared" si="1"/>
        <v>19</v>
      </c>
      <c r="C6">
        <f t="shared" si="2"/>
        <v>17.600000000000001</v>
      </c>
      <c r="D6">
        <f t="shared" si="0"/>
        <v>15.200000000000001</v>
      </c>
      <c r="E6">
        <f t="shared" si="3"/>
        <v>15</v>
      </c>
      <c r="F6">
        <f t="shared" si="4"/>
        <v>13</v>
      </c>
      <c r="G6">
        <f t="shared" si="5"/>
        <v>10</v>
      </c>
      <c r="H6">
        <f t="shared" si="6"/>
        <v>5</v>
      </c>
    </row>
    <row r="7" spans="1:8" x14ac:dyDescent="0.25">
      <c r="A7">
        <v>15</v>
      </c>
      <c r="B7">
        <f t="shared" ref="B7:B9" si="7">A7*0.95</f>
        <v>14.25</v>
      </c>
      <c r="C7">
        <f t="shared" ref="C7:C9" si="8">A7*0.88</f>
        <v>13.2</v>
      </c>
      <c r="D7">
        <f t="shared" si="0"/>
        <v>11.4</v>
      </c>
      <c r="E7">
        <f t="shared" ref="E7:E9" si="9">A7*0.75</f>
        <v>11.25</v>
      </c>
      <c r="F7">
        <f t="shared" ref="F7:F9" si="10">A7*0.65</f>
        <v>9.75</v>
      </c>
      <c r="G7">
        <f t="shared" ref="G7:G9" si="11">A7*0.5</f>
        <v>7.5</v>
      </c>
      <c r="H7">
        <f t="shared" ref="H7:H9" si="12">A7*0.25</f>
        <v>3.75</v>
      </c>
    </row>
    <row r="8" spans="1:8" x14ac:dyDescent="0.25">
      <c r="A8">
        <v>10</v>
      </c>
      <c r="B8">
        <f t="shared" si="7"/>
        <v>9.5</v>
      </c>
      <c r="C8">
        <f t="shared" si="8"/>
        <v>8.8000000000000007</v>
      </c>
      <c r="D8">
        <f t="shared" si="0"/>
        <v>7.6000000000000005</v>
      </c>
      <c r="E8">
        <f t="shared" si="9"/>
        <v>7.5</v>
      </c>
      <c r="F8">
        <f t="shared" si="10"/>
        <v>6.5</v>
      </c>
      <c r="G8">
        <f t="shared" si="11"/>
        <v>5</v>
      </c>
      <c r="H8">
        <f t="shared" si="12"/>
        <v>2.5</v>
      </c>
    </row>
    <row r="9" spans="1:8" x14ac:dyDescent="0.25">
      <c r="A9">
        <v>4</v>
      </c>
      <c r="B9">
        <f t="shared" si="7"/>
        <v>3.8</v>
      </c>
      <c r="C9">
        <f t="shared" si="8"/>
        <v>3.52</v>
      </c>
      <c r="D9">
        <f t="shared" si="0"/>
        <v>3.04</v>
      </c>
      <c r="E9">
        <f t="shared" si="9"/>
        <v>3</v>
      </c>
      <c r="F9">
        <f t="shared" si="10"/>
        <v>2.6</v>
      </c>
      <c r="G9">
        <f t="shared" si="11"/>
        <v>2</v>
      </c>
      <c r="H9">
        <f t="shared" si="12"/>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57E7-058E-47EA-9E7C-EF9D8C29EE78}">
  <dimension ref="A1:C12"/>
  <sheetViews>
    <sheetView workbookViewId="0">
      <selection activeCell="B6" sqref="B6"/>
    </sheetView>
  </sheetViews>
  <sheetFormatPr defaultRowHeight="15" x14ac:dyDescent="0.25"/>
  <cols>
    <col min="1" max="1" width="33.42578125" style="1" customWidth="1"/>
    <col min="2" max="2" width="23.7109375" style="1" customWidth="1"/>
    <col min="3" max="3" width="104" style="1" customWidth="1"/>
  </cols>
  <sheetData>
    <row r="1" spans="1:3" x14ac:dyDescent="0.25">
      <c r="A1" s="3" t="s">
        <v>28</v>
      </c>
      <c r="B1" s="3" t="s">
        <v>29</v>
      </c>
      <c r="C1" s="3" t="s">
        <v>30</v>
      </c>
    </row>
    <row r="3" spans="1:3" ht="60" x14ac:dyDescent="0.25">
      <c r="A3" s="1" t="s">
        <v>31</v>
      </c>
      <c r="B3" s="1" t="s">
        <v>32</v>
      </c>
      <c r="C3" s="1" t="s">
        <v>33</v>
      </c>
    </row>
    <row r="4" spans="1:3" ht="90" x14ac:dyDescent="0.25">
      <c r="A4" s="1" t="s">
        <v>34</v>
      </c>
      <c r="B4" s="1" t="s">
        <v>35</v>
      </c>
      <c r="C4" s="1" t="s">
        <v>36</v>
      </c>
    </row>
    <row r="5" spans="1:3" ht="75" x14ac:dyDescent="0.25">
      <c r="A5" s="1" t="s">
        <v>37</v>
      </c>
      <c r="B5" s="1" t="s">
        <v>38</v>
      </c>
      <c r="C5" s="1" t="s">
        <v>39</v>
      </c>
    </row>
    <row r="6" spans="1:3" ht="60" x14ac:dyDescent="0.25">
      <c r="A6" s="1" t="s">
        <v>40</v>
      </c>
      <c r="B6" s="1" t="s">
        <v>41</v>
      </c>
      <c r="C6" s="1" t="s">
        <v>42</v>
      </c>
    </row>
    <row r="7" spans="1:3" ht="45" x14ac:dyDescent="0.25">
      <c r="A7" s="1" t="s">
        <v>43</v>
      </c>
      <c r="B7" s="1" t="s">
        <v>44</v>
      </c>
      <c r="C7" s="1" t="s">
        <v>45</v>
      </c>
    </row>
    <row r="8" spans="1:3" ht="90" x14ac:dyDescent="0.25">
      <c r="A8" s="1" t="s">
        <v>46</v>
      </c>
      <c r="B8" s="1" t="s">
        <v>47</v>
      </c>
      <c r="C8" s="1" t="s">
        <v>48</v>
      </c>
    </row>
    <row r="9" spans="1:3" ht="30" x14ac:dyDescent="0.25">
      <c r="A9" s="1" t="s">
        <v>49</v>
      </c>
      <c r="B9" s="1" t="s">
        <v>50</v>
      </c>
      <c r="C9" s="1" t="s">
        <v>51</v>
      </c>
    </row>
    <row r="12" spans="1:3" x14ac:dyDescent="0.25">
      <c r="B12" s="2"/>
      <c r="C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Grading</vt:lpstr>
      <vt:lpstr>Fractions</vt:lpstr>
      <vt:lpstr>Grading Scale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Tanweer Alam</cp:lastModifiedBy>
  <dcterms:created xsi:type="dcterms:W3CDTF">2023-08-24T18:47:47Z</dcterms:created>
  <dcterms:modified xsi:type="dcterms:W3CDTF">2026-04-27T03:04:03Z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2023-08-28T01:15:56Z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10d55ea0-8e20-46ad-a7ad-c8238a4f8e1c</vt:lpwstr>
  </property>
  <property fmtid="{D5CDD505-2E9C-101B-9397-08002B2CF9AE}" pid="8" name="MSIP_Label_5d54f1a3-9ed5-415d-ba95-38401c4b8817_ContentBits">
    <vt:lpwstr>1</vt:lpwstr>
  </property>
</Properties>
</file>