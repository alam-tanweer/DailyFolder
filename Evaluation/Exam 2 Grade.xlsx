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F:\GIT\00 daily\DailyFolder\Evaluation\"/>
    </mc:Choice>
  </mc:AlternateContent>
  <xr:revisionPtr revIDLastSave="0" documentId="13_ncr:1_{C20E2C9D-9DB9-4AF8-B9DB-A66F17E2A99D}" xr6:coauthVersionLast="47" xr6:coauthVersionMax="47" xr10:uidLastSave="{00000000-0000-0000-0000-000000000000}"/>
  <bookViews>
    <workbookView xWindow="4050" yWindow="1110" windowWidth="33120" windowHeight="18600" xr2:uid="{00000000-000D-0000-FFFF-FFFF00000000}"/>
  </bookViews>
  <sheets>
    <sheet name="Grading" sheetId="1" r:id="rId1"/>
    <sheet name="Fractions" sheetId="4" r:id="rId2"/>
    <sheet name="Grading Scale" sheetId="5"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4" l="1"/>
  <c r="D9" i="4"/>
  <c r="C9" i="4"/>
  <c r="E9" i="4"/>
  <c r="F9" i="4"/>
  <c r="G9" i="4"/>
  <c r="H9" i="4"/>
  <c r="D4" i="4"/>
  <c r="D5" i="4"/>
  <c r="D6" i="4"/>
  <c r="D7" i="4"/>
  <c r="D8" i="4"/>
  <c r="D3" i="4"/>
  <c r="F3" i="1"/>
  <c r="F4" i="1"/>
  <c r="F5" i="1"/>
  <c r="F6" i="1"/>
  <c r="F7" i="1"/>
  <c r="F8" i="1"/>
  <c r="F9" i="1"/>
  <c r="F10" i="1"/>
  <c r="F11" i="1"/>
  <c r="F12" i="1"/>
  <c r="F13" i="1"/>
  <c r="F2" i="1"/>
  <c r="B3" i="4"/>
  <c r="C3" i="4"/>
  <c r="E3" i="4"/>
  <c r="F3" i="4"/>
  <c r="G3" i="4"/>
  <c r="H3" i="4"/>
  <c r="B7" i="4"/>
  <c r="C7" i="4"/>
  <c r="E7" i="4"/>
  <c r="F7" i="4"/>
  <c r="G7" i="4"/>
  <c r="H7" i="4"/>
  <c r="B8" i="4"/>
  <c r="C8" i="4"/>
  <c r="E8" i="4"/>
  <c r="F8" i="4"/>
  <c r="G8" i="4"/>
  <c r="H8" i="4"/>
  <c r="H6" i="4"/>
  <c r="G6" i="4"/>
  <c r="F6" i="4"/>
  <c r="E6" i="4"/>
  <c r="C6" i="4"/>
  <c r="B6" i="4"/>
  <c r="H5" i="4"/>
  <c r="G5" i="4"/>
  <c r="F5" i="4"/>
  <c r="E5" i="4"/>
  <c r="C5" i="4"/>
  <c r="B5" i="4"/>
  <c r="H4" i="4"/>
  <c r="G4" i="4"/>
  <c r="F4" i="4"/>
  <c r="E4" i="4"/>
  <c r="C4" i="4"/>
  <c r="B4" i="4"/>
</calcChain>
</file>

<file path=xl/sharedStrings.xml><?xml version="1.0" encoding="utf-8"?>
<sst xmlns="http://schemas.openxmlformats.org/spreadsheetml/2006/main" count="68" uniqueCount="67">
  <si>
    <t>Name</t>
  </si>
  <si>
    <t>Palocy,Molly Elizabeth</t>
  </si>
  <si>
    <t>Prinstein,Justin M</t>
  </si>
  <si>
    <t>Cunningham,Hayden</t>
  </si>
  <si>
    <t>Donfack Tazanou,Karl Loic</t>
  </si>
  <si>
    <t>Goonatillake,Anouka Don Anouka Matthew</t>
  </si>
  <si>
    <t>Jancewicz,Theo Lyn</t>
  </si>
  <si>
    <t>Kim,Esther</t>
  </si>
  <si>
    <t>Oladejo,Sadiq Iyanda</t>
  </si>
  <si>
    <t>Pita,Gregory Edward</t>
  </si>
  <si>
    <t>Shimer,Olivia Mae</t>
  </si>
  <si>
    <t>Sudhi,Shriyans</t>
  </si>
  <si>
    <t>Taylor,Noah A</t>
  </si>
  <si>
    <t>git Username</t>
  </si>
  <si>
    <t>hc3155</t>
  </si>
  <si>
    <t>kd-237</t>
  </si>
  <si>
    <t>An0uka1</t>
  </si>
  <si>
    <t>Theo-Jance</t>
  </si>
  <si>
    <t>ek1031-alt</t>
  </si>
  <si>
    <t>Sad837</t>
  </si>
  <si>
    <t>MollyHitsDifferent</t>
  </si>
  <si>
    <t>gregorious-pita</t>
  </si>
  <si>
    <t>JPrinstein</t>
  </si>
  <si>
    <t>oms7462-code</t>
  </si>
  <si>
    <t>shriyanss</t>
  </si>
  <si>
    <t>NoahatCompSci</t>
  </si>
  <si>
    <t>Sum</t>
  </si>
  <si>
    <t>Final</t>
  </si>
  <si>
    <t>Grade</t>
  </si>
  <si>
    <t>Grading Scale</t>
  </si>
  <si>
    <t>Description</t>
  </si>
  <si>
    <t>Exceptional Performance</t>
  </si>
  <si>
    <t>5 (100%)</t>
  </si>
  <si>
    <t>The solution is complete and correct. Instructions were followed completely.
or
The student made a small number of minor errors for the first time, e.g. wrongly named files, output that does not match specifications, etc. A warning should be issued regarding any errors.</t>
  </si>
  <si>
    <t>Competent Performance</t>
  </si>
  <si>
    <t>4 (95%)</t>
  </si>
  <si>
    <t>The solution is functionally complete other than a small number of functional errors. Instructions were followed completely.
or
The solution is complete and correct but the student made a small number of errors that they heve made at least once before, e.g. wrongly named files, output that does not match specifications, etc. An explanation should be issued regarding any of these errors. Instructions were followed completely.</t>
  </si>
  <si>
    <t>Acceptable Performance</t>
  </si>
  <si>
    <t>3 (88%)</t>
  </si>
  <si>
    <t>The solution includes at least 80% of the required functionality and all instructions have been followed.
or
The student's effort is obvious based on the volume of work and commit history, but there are a modest number of errors that range from relatively minor to significant that can be easily fixed by a member of the course staff with minimal effort.</t>
  </si>
  <si>
    <t>Developing Performance</t>
  </si>
  <si>
    <t>2 (75%)</t>
  </si>
  <si>
    <t>The solution includes at least 50% of the required functionality and all instructions have been followed. The student's effort based on volume of work and commit history is obvious. There is at least some attempt to implement the missing functionality. Errors can be easily fixed by a member of the course staff in a short amount of time.</t>
  </si>
  <si>
    <t>Beginning Performance</t>
  </si>
  <si>
    <t>1 (50%)</t>
  </si>
  <si>
    <t>The student began the solution, and there is obvious effort, but more than 50% of the required functionality is missing or broken. This may include code that exists but does not compile and/OR run, but could be fixed with significant effort.</t>
  </si>
  <si>
    <t>Needs Improvements</t>
  </si>
  <si>
    <t>1 (25%)</t>
  </si>
  <si>
    <t>The solution shows some evidence of effort but does not demonstrate the desired learning outcomes.
Less than 50% of the required functionality is working.
There are serious errors that require significant effort to fix including code that does not compile or that crashes when executed.</t>
  </si>
  <si>
    <t>Unacceptable Performance</t>
  </si>
  <si>
    <t>0 (0%)</t>
  </si>
  <si>
    <t>Little or no effort. Almost all of the required functionality is missing. The commit history shows very little activity on behalf of the student.</t>
  </si>
  <si>
    <t>FeedBack</t>
  </si>
  <si>
    <t>Grade 1 - 30</t>
  </si>
  <si>
    <t>Grade 2 - 20</t>
  </si>
  <si>
    <t>Grade 3 - 50</t>
  </si>
  <si>
    <t>Question 3 - Packages
Part 4:
The implementation of the Iterator is incorrect. The iterator must maintain a variable to track the current index of the element being returned during iteration.
In your current implementation, the code always calls internalStorage.get(size) and uses a similar condition in hasNext(). This will cause an IndexOutOfBoundsException, because the maximum valid index in a list is size - 1.
Additionally, the iterator should maintain a separate counter (e.g., currentIndex) to track the position of the next element to return.
The hasNext() method should check whether more elements remain by evaluating:
currentIndex &lt; internalStorage.size()
This condition ensures that iteration stops once all elements in the collection have been returned.</t>
  </si>
  <si>
    <t>Excellent</t>
  </si>
  <si>
    <t>Question 3:
Part 4:
Implementation of iterator is missing</t>
  </si>
  <si>
    <t>Question 1 - Identify data structure
1. A binary Search Tree for Library Organizational Structure is an overkill as we don't need to sort it.
a Binary tree could do that jo.</t>
  </si>
  <si>
    <t>Question 1 - Identify data structure
Emergency Book Requests → The requirement specifies processing requests based on priority (Urgent, High, Medium, Low). A Max Heap would be a more appropriate choice because it efficiently retrieves the highest-priority item first.
Using a Queue would not be suitable since queues process items strictly in FIFO order and would not automatically prioritize higher-priority requests.
Archived Rare Books (Search by ID) → A Min/Max Heap is not an appropriate choice here. The main requirement is efficient searching by unique Archive ID, whereas heaps are designed primarily for quickly retrieving the minimum or maximum element, not for fast lookup of an arbitrary ID.
A Binary Search Tree (BST) would be a much better choice because it organizes elements by key and supports more efficient searching by ID.
Top 10 Most Borrowed Books → An array-based list is not the best choice for this requirement. The system must frequently determine the book with the highest borrow count, and an array-based list would require scanning the entire list to find the maximum each time.
A Max Heap would be a more appropriate data structure because it allows efficient retrieval of the item with the highest borrow count.
Question 2
Part A - Identify High Achievers: 
Same issue as part B
Part B - Find Adult Student:
Your implementation was close. There was syntax error
Incorrect --&gt; Arrays.stream(students).filter(s -&gt; s.getAge() &gt; 18).forEach(s -&gt; System.out.println(s.getName() + " - " + s.getAge()));
Correct --&gt;   students.stream().filter(s -&gt; s.getAge() &gt; 18).forEach(s -&gt; System.out.println(s.getName() + " - " + s.getAge()));
Condition s.getAge() &gt; 18 is incorrect. It should be s.getAge() &gt;= 18
Question 3 - Packages
Part 2:
You have used incorrect comparator. It should be length comparator.
Output is not CorrectPriority, Length order: [[Priority=HIGH, length=10, weight=7], [Priority=LOW, length=12, weight=10], [Priority=MEDIUM, length=18, weight=12], [Priority=LOW, length=22, weight=15], [Priority=HIGH, length=13, weight=17], [Priority=MEDIUM, length=25, weight=18], [Priority=LOW, length=14, weight=25]]
ority=LOW, length=14, weight=25]]
ority=LOW, length=14, weight=25]]
ority=LOW, length=14, weight=25]]
Here, item should be sorted first by priority and then length
Part 3:
You have used incorrect comparator. It should be weight comparator.
Same issue as Part 2
Part 4:
Incomplete Iterator() implementation. It goes in infinite loop.</t>
  </si>
  <si>
    <t>Question 1 - Identify data structure
Top 10 Most Borrowed Books → Using a List is not the most appropriate choice for this requirement. Maintaining the list in sorted order by borrow count would require re-sorting or shifting elements whenever borrow counts change or new data is added.
A Max Heap would be a better fit because it is designed to efficiently retrieve the element with the highest value (in this case, the highest borrow count) without needing to repeatedly sort the entire collection.
Question 3 - Packages
Part 2:
PackageMain class is not updated to use correct comparator.
Part 3:
PackageMain class is not updated to use correct comparator.
Part 4:
Iterator Implementation missing in PackageCollection Class.</t>
  </si>
  <si>
    <t>Question 1 - Identify data structure
Emergency Book Requests → A Dictionary is not the most appropriate data structure for this requirement. While a dictionary can associate a book ID with a priority value, it does not inherently process items in priority order.
The key requirement here is that the system must always process the highest-priority request first. A Max Heap would be a better choice because it automatically maintains ordering based on priority and allows efficient retrieval of the highest-priority request.
Monthly New Arrivals List → The justification suggests using a node-based structure (linked list), but this requirement specifies that the system must preserve insertion order and allow retrieval by index. Linked lists store elements in nodes connected by references, which means retrieving an element by index requires traversing the list sequentially, making it inefficient.
A List (array-based list) would be more appropriate because it preserves insertion order and allows direct access by index.
Top 10 Most Borrowed Books → The justification focuses on identifying books by serial number or ensuring title uniqueness using a Set, but the key requirement in the question is the ability to quickly retrieve the book with the highest borrow count.
A Set or key-value structure does not inherently maintain ordering based on borrow count and would require additional processing to determine the most borrowed book.
A Max Heap would be a more appropriate data structure because it is specifically designed to efficiently maintain elements based on priority (in this case, borrow count) and allows quick retrieval of the most borrowed book.
Question 2
Part A - Identify High Achievers: 
Lambda expression is not fully correct
Incorrect -&gt;   Arrays.asList(students).stream().filter(Student x -&gt; x.getGrade() &gt;= 85).forEach(System.out.println(x.getGrade() + " - " + x.getName()));
Correct -&gt; students.stream().filter(x -&gt; x.getGrade() &gt;= 85).forEach(x -&gt; System.out.println(x.getGrade() + " - " + x.getName()));
Part B - Find Adult Student:
Incorrect Lamda expression. filter condition missing
Arrays.asList(students).stream().forEach(System.out.println(x.getName() + " - " + x.getAge()));
Question 3 – Packages
Part 2:
The compareTo method should return -1, 0, or 1 to indicate ordering:
-1 if object a comes before b
0 if a and b are equal
1 if a comes after b
Returning values such as 3, 2, or 1 is not correct for this implementation.
Additionally, the implementation for Part 2 is not correct. The Package class already defines the natural ordering using compareTo. For this part, an additional sorting rule (Priority → Length) is required. This should be implemented using a separate Comparator class, which is then passed to the Collections.sort() method.
The comparison logic also needs to be updated to correctly follow the requirement:
Sort by Priority
If priorities are equal, sort by Length (ascending).
Part 3:
The same issue applies as in Part 2. Since the natural order is already defined in the Package class, this part should also use a separate Comparator. The comparator should sort packages by:
Priority
Weight (descending) when priorities are equal.
The current comparison logic does not fully implement this requirement.
Part 4:
The Iterator implementation is missing. The PackageCollection class must implement Iterable&lt;Package&gt; and provide an iterator() method that returns a custom Iterator. The iterator should track the current position and allow the collection to be traversed using a for-each loop.</t>
  </si>
  <si>
    <t>Question 1 - Identify data structure
Library Organizational Structure → A NodeQueue is not an appropriate choice for representing this structure. Queues are designed for FIFO processing, not for representing hierarchical relationships.
The requirement describes a hierarchical structure (Main Branch → Children’s Section → Early Readers), which is best represented using a Tree (Binary Tree or general Tree) where each node can have child nodes representing sub-branches.
General Storage (Unordered) → A List is not the best justification for this requirement. While a list can store unordered items, the justification is incorrect in stating that a list has a fixed size and supports searching on both sides. Lists are typically dynamic and searching requires sequential traversal from the beginning.
The requirement specifically mentions that searching may require checking both sides of the structure, which more closely aligns with a Binary Tree, where searches may proceed through both left and right subtrees.
Top 10 Most Borrowed Books → A Binary Search Tree (BST) is not the best choice for this requirement. While a BST organizes elements based on key values (such as borrow count), retrieving the maximum element still requires traversing to the far-right node, and maintaining the top 10 most borrowed books would require additional logic.
A Max Heap would be a better choice because it is specifically designed to efficiently maintain and retrieve the highest-priority element (in this case, the highest borrow count).
Part 4:
Part 4 – Iterator Implementation →
The implementation is not correct. The iterator() method must return an instance of an Iterator&lt;Package&gt;, typically implemented using an anonymous inner class (new Iterator&lt;Package&gt;() { ... }). In the current code, the return statement is missing the new Iterator&lt;Package&gt;() declaration, so the code will not compile.
Additionally, the hasNext() condition should use:
i &lt; internalStorage.size()
instead of i != internalStorage.size() to clearly indicate that iteration should continue while the index is within bounds.
The next() method also increments the index before retrieving the element, which works but is less clear. A cleaner implementation would retrieve the element first and then increment the index.</t>
  </si>
  <si>
    <t>Question 1 - Identify data structure
Library Organizational Structure → A Binary Search Tree (BST) is not the most appropriate choice for this requirement. While a BST organizes elements based on sorted key values, the requirement only describes a hierarchical relationship between branches and sub-branches (e.g., Main Branch → Children’s Section → Early Readers).
A Binary Tree or general Tree would be more appropriate for representing this type of hierarchy, since sorting is not required.
General Storage (Unordered) → A List can store elements without any required ordering, but the justification is not accurate. Lists do not inherently support searching from “both sides” of the structure. Searching in a list typically requires sequential traversal through the elements.
The description that searching may require checking both sides of the structure better aligns with a Binary Tree, where a search may need to explore both left and right branches.
Question 2
Part A - Identify High Achievers: 
Implementation mising
Part B - Find Adult Student:
Implementation missing
Question 3 - Packages
Part 1:
Incorrect Implementation
return (int) this.priority - o.priority;
it should be
return this.priority.getRank() - o.priority.getRank()
Part 2:
Similar issue as Part 3. Please review.
Part 3:
Part 3 – Comparator Implementation →
The implementation has several issues. First, the class is intended to define a Comparator, but it does not declare that it implements Comparator&lt;Package&gt;. Because of this, the code will not compile.
Second, the call to Integer.compare() is incorrect. The expression
Integer.compare(-1*(o1.getWeight(), o2.getWeight())) is syntactically invalid. Integer.compare() requires two arguments, and the attempt to multiply by -1 is not the correct way to implement descending order.
Additionally, the comparison logic should follow the requirement:
Compare by Priority first.
If priorities are equal, compare by Weight in descending order.
A cleaner implementation would reverse the comparison for weight when priorities are equal.
public class PackageComparatorByWeight implements Comparator&lt;Package&gt; {
    @Override
    public int compare(Package o1, Package o2) {
        int diff = Integer.compare(o1.getPriority(), o2.getPriority());
        if (diff != 0) {
            return diff;
        }
        return Integer.compare(o2.getWeight(), o1.getWeight()); // descending
    }
}
Part 4:
Part 4 – Iterator Implementation →
The implementation has several issues.
The class implements Iterable&lt;Package&gt;, but the required method iterator() is missing. The Iterable interface requires an iterator() method that returns an Iterator&lt;Package&gt;. Instead, the class attempts to directly implement hasNext() and next(), which belong to the Iterator interface, not Iterable.
The statement int size = data.length(); is incorrect for an ArrayList. ArrayList uses the method size(), not length().
The line data[index] is also incorrect because ArrayList elements must be accessed using get(index), not array indexing.
The cast (Package) is unnecessary since data is already declared as ArrayList&lt;Package&gt;.
To meet the requirement, the class should implement Iterable&lt;Package&gt; and return a proper Iterator from the iterator() method, which manages the index internally.</t>
  </si>
  <si>
    <t>Question 1 - Identify data structure
Library Organizational Structure
A Binary Search Tree (BST) is not the most appropriate data structure for this requirement. A BST is specifically designed to maintain elements in sorted order based on a key, but the problem only describes a hierarchical relationship between branches and sub-branches.
A Binary Tree or general Tree would be more suitable for representing this type of structure, since it naturally models parent–child relationships without requiring any sorting.
General Storage (Unordered) →
While a List can store items without any specific ordering, the justification provided is not accurate. Lists do not support searching from “both sides” of the structure. Searching in a list typically requires sequential traversal through all elements until the item is found.
The description that searching may require checking both sides of the structure more closely matches a Binary Tree, where a search may need to explore both the left and right branches.
Question 3 - Packages
Part 1:
Incorrect natural ordering implementation. The compareTo method should define sorting only by Priority. Length should not be included in the natural order and should instead be handled in a separate comparator if needed.
Part 2:
comparator implementation missing.
Part 4:
implementation missing</t>
  </si>
  <si>
    <t>Question 1 - Identify data structure
Library Organizational Structure → A Binary Search Tree (BST) is not the most appropriate choice for this requirement. While a BST organizes elements based on sorted key values, the requirement only describes a hierarchical relationship between branches and sub-branches (e.g., Main Branch → Children’s Section → Early Readers).
A Binary Tree or general Tree would be more appropriate for representing this type of hierarchy, since sorting is not required.
Archived Rare Books (Search by ID) →
A Set ensures uniqueness of elements, but it is not the most appropriate data structure for this requirement. The key requirement is efficient searching by Archive ID. While some set implementations maintain ordering, sets are primarily designed to enforce uniqueness, not to efficiently organize and search elements based on a specific key.
A Binary Search Tree (BST) would be a better choice because it organizes elements by key (in this case, Archive ID) and supports efficient searching by ID.
Question 2
Part A - Identify High Achievers: 
The implementation does not correctly apply the filtering requirement. The filter() operation is created on one stream, but its result is not used. Then a new stream is created for forEach(), which prints all students, not just those with grades above 85.
In the Stream API, operations like filter() must be part of the same stream pipeline as the terminal operation (forEach()). The filtered stream should be directly passed to forEach() to ensure that only students with grades above 85 are printed.
Part B - Find Adult Student:
Similar issue as Part B
Question 3 - Packages
Part 1:
Part 1 – Natural Ordering Implementation →
The implementation is incorrect for defining the natural ordering of Package objects.
The code creates an anonymous Comparable&lt;Priority&gt; object, which does not apply to sorting Package instances. The natural ordering should be implemented in the Package class by implementing Comparable&lt;Package&gt;.
The compareTo method should compare two Package objects based on their Priority, not compare Priority objects in this way.
The expression this.getRank() is also incorrect in this context because the anonymous Comparable object does not represent a Priority instance.
To meet the requirement, the Package class should implement Comparable&lt;Package&gt; and define compareTo() so that packages are sorted only by Priority.
Part 2:
Part 2 – Comparator Implementation →
The comparator implementation is incorrect for several reasons.
The comparator is declared as Comparator&lt;Priority&gt;, but the sorting requirement is for Package objects, not Priority. It should be implemented as Comparator&lt;Package&gt;.
The code unnecessarily creates new Package objects inside the compare() method. Comparators should compare the objects passed as parameters, not create new ones.
The comparison logic is incorrect. Both pol and ptl are created using o2, so the comparison will always return 0, meaning no effective sorting occurs.
The requirement states that packages should be sorted first by Priority and then by Length (ascending), but the current implementation only attempts to compare length and does not correctly incorporate priority.
To meet the requirement, the comparator should compare the priority first, and if priorities are equal, then compare the length in ascending order.
Part 3:
Simiar issue as in Part 2
Part 4:
Iteration Implementation missing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</si>
</sst>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indexed="8"/>
      <name val="Calibri"/>
      <family val="2"/>
      <scheme val="minor"/>
    </font>
    <font>
      <b/>
      <sz val="10"/>
      <name val="Calibri"/>
      <family val="2"/>
    </font>
    <font>
      <sz val="11"/>
      <color indexed="8"/>
      <name val="Calibri"/>
      <family val="2"/>
      <scheme val="minor"/>
    </font>
    <font>
      <b/>
      <sz val="11"/>
      <color indexed="8"/>
      <name val="Calibri"/>
      <family val="2"/>
      <scheme val="minor"/>
    </font>
    <font>
      <sz val="11"/>
      <color rgb="FFFF0000"/>
      <name val="Calibri"/>
      <family val="2"/>
      <scheme val="minor"/>
    </font>
  </fonts>
  <fills count="5">
    <fill>
      <patternFill patternType="none"/>
    </fill>
    <fill>
      <patternFill patternType="gray125"/>
    </fill>
    <fill>
      <patternFill patternType="solid">
        <fgColor theme="8" tint="0.59999389629810485"/>
        <bgColor indexed="64"/>
      </patternFill>
    </fill>
    <fill>
      <patternFill patternType="solid">
        <fgColor theme="4" tint="0.59999389629810485"/>
        <bgColor indexed="64"/>
      </patternFill>
    </fill>
    <fill>
      <patternFill patternType="solid">
        <fgColor theme="9" tint="0.399975585192419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cellStyleXfs>
  <cellXfs count="12">
    <xf numFmtId="0" fontId="0" fillId="0" borderId="0" xfId="0"/>
    <xf numFmtId="0" fontId="0" fillId="0" borderId="0" xfId="0" applyAlignment="1">
      <alignment horizontal="left" vertical="top" wrapText="1"/>
    </xf>
    <xf numFmtId="9" fontId="0" fillId="0" borderId="0" xfId="0" applyNumberFormat="1" applyAlignment="1">
      <alignment horizontal="left" vertical="top" wrapText="1"/>
    </xf>
    <xf numFmtId="0" fontId="3" fillId="2" borderId="0" xfId="0" applyFont="1" applyFill="1" applyAlignment="1">
      <alignment horizontal="left" vertical="top" wrapText="1"/>
    </xf>
    <xf numFmtId="0" fontId="3" fillId="2" borderId="0" xfId="0" applyFont="1" applyFill="1"/>
    <xf numFmtId="9" fontId="3" fillId="2" borderId="0" xfId="0" applyNumberFormat="1" applyFont="1" applyFill="1"/>
    <xf numFmtId="0" fontId="0" fillId="0" borderId="0" xfId="0" applyAlignment="1">
      <alignment vertical="top"/>
    </xf>
    <xf numFmtId="0" fontId="0" fillId="0" borderId="0" xfId="0" applyAlignment="1">
      <alignment vertical="top" wrapText="1"/>
    </xf>
    <xf numFmtId="0" fontId="1" fillId="3" borderId="1" xfId="0" applyFont="1" applyFill="1" applyBorder="1" applyAlignment="1">
      <alignment vertical="top"/>
    </xf>
    <xf numFmtId="0" fontId="3" fillId="3" borderId="0" xfId="0" applyFont="1" applyFill="1" applyAlignment="1">
      <alignment vertical="top"/>
    </xf>
    <xf numFmtId="0" fontId="4" fillId="0" borderId="0" xfId="0" applyFont="1" applyAlignment="1">
      <alignment vertical="top"/>
    </xf>
    <xf numFmtId="0" fontId="0" fillId="4" borderId="0" xfId="0" applyFill="1" applyAlignment="1">
      <alignment vertical="top"/>
    </xf>
  </cellXfs>
  <cellStyles count="2">
    <cellStyle name="Normal" xfId="0" builtinId="0"/>
    <cellStyle name="Normal 2" xfId="1" xr:uid="{40CA8281-389A-415C-A831-AB0150B4A67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3"/>
  <sheetViews>
    <sheetView tabSelected="1" topLeftCell="A5" workbookViewId="0">
      <selection activeCell="C7" sqref="C7"/>
    </sheetView>
  </sheetViews>
  <sheetFormatPr defaultRowHeight="15" x14ac:dyDescent="0.25"/>
  <cols>
    <col min="1" max="1" width="40.28515625" style="6" customWidth="1"/>
    <col min="2" max="2" width="16.85546875" style="6" customWidth="1"/>
    <col min="3" max="3" width="43.28515625" style="6" customWidth="1"/>
    <col min="4" max="5" width="49" style="6" customWidth="1"/>
    <col min="6" max="6" width="18.42578125" style="6" customWidth="1"/>
    <col min="7" max="7" width="16.85546875" style="6" customWidth="1"/>
    <col min="8" max="8" width="63.28515625" style="6" customWidth="1"/>
    <col min="9" max="16384" width="9.140625" style="6"/>
  </cols>
  <sheetData>
    <row r="1" spans="1:8" x14ac:dyDescent="0.25">
      <c r="A1" s="8" t="s">
        <v>0</v>
      </c>
      <c r="B1" s="8" t="s">
        <v>13</v>
      </c>
      <c r="C1" s="9" t="s">
        <v>53</v>
      </c>
      <c r="D1" s="9" t="s">
        <v>54</v>
      </c>
      <c r="E1" s="9" t="s">
        <v>55</v>
      </c>
      <c r="F1" s="9" t="s">
        <v>26</v>
      </c>
      <c r="G1" s="9" t="s">
        <v>27</v>
      </c>
      <c r="H1" s="9" t="s">
        <v>52</v>
      </c>
    </row>
    <row r="2" spans="1:8" x14ac:dyDescent="0.25">
      <c r="A2" s="11" t="s">
        <v>3</v>
      </c>
      <c r="B2" s="6" t="s">
        <v>14</v>
      </c>
      <c r="C2" s="6">
        <v>30</v>
      </c>
      <c r="D2" s="6">
        <v>20</v>
      </c>
      <c r="E2" s="6">
        <v>50</v>
      </c>
      <c r="F2" s="6">
        <f>SUM(C2,D2,E2)</f>
        <v>100</v>
      </c>
      <c r="H2" s="7" t="s">
        <v>57</v>
      </c>
    </row>
    <row r="3" spans="1:8" ht="409.5" x14ac:dyDescent="0.25">
      <c r="A3" s="11" t="s">
        <v>4</v>
      </c>
      <c r="B3" s="6" t="s">
        <v>15</v>
      </c>
      <c r="C3" s="6">
        <v>26</v>
      </c>
      <c r="D3" s="6">
        <v>0</v>
      </c>
      <c r="E3" s="6">
        <v>38</v>
      </c>
      <c r="F3" s="6">
        <f t="shared" ref="F3:F13" si="0">SUM(C3,D3,E3)</f>
        <v>64</v>
      </c>
      <c r="G3" s="6">
        <v>68</v>
      </c>
      <c r="H3" s="7" t="s">
        <v>64</v>
      </c>
    </row>
    <row r="4" spans="1:8" ht="409.5" x14ac:dyDescent="0.25">
      <c r="A4" s="11" t="s">
        <v>5</v>
      </c>
      <c r="B4" s="6" t="s">
        <v>16</v>
      </c>
      <c r="C4" s="6">
        <v>26</v>
      </c>
      <c r="D4" s="6">
        <v>20</v>
      </c>
      <c r="E4" s="6">
        <v>25</v>
      </c>
      <c r="F4" s="6">
        <f t="shared" si="0"/>
        <v>71</v>
      </c>
      <c r="H4" s="7" t="s">
        <v>65</v>
      </c>
    </row>
    <row r="5" spans="1:8" ht="315" x14ac:dyDescent="0.25">
      <c r="A5" s="11" t="s">
        <v>6</v>
      </c>
      <c r="B5" s="6" t="s">
        <v>17</v>
      </c>
      <c r="C5" s="6">
        <v>28</v>
      </c>
      <c r="D5" s="6">
        <v>20</v>
      </c>
      <c r="E5" s="6">
        <v>34</v>
      </c>
      <c r="F5" s="6">
        <f t="shared" si="0"/>
        <v>82</v>
      </c>
      <c r="H5" s="7" t="s">
        <v>61</v>
      </c>
    </row>
    <row r="6" spans="1:8" x14ac:dyDescent="0.25">
      <c r="A6" s="10" t="s">
        <v>7</v>
      </c>
      <c r="B6" s="10" t="s">
        <v>18</v>
      </c>
      <c r="F6" s="6">
        <f t="shared" si="0"/>
        <v>0</v>
      </c>
      <c r="H6" s="7"/>
    </row>
    <row r="7" spans="1:8" ht="409.5" x14ac:dyDescent="0.25">
      <c r="A7" s="11" t="s">
        <v>8</v>
      </c>
      <c r="B7" s="6" t="s">
        <v>19</v>
      </c>
      <c r="C7" s="6">
        <v>26</v>
      </c>
      <c r="D7" s="6">
        <v>14</v>
      </c>
      <c r="E7" s="6">
        <v>25</v>
      </c>
      <c r="F7" s="6">
        <f t="shared" si="0"/>
        <v>65</v>
      </c>
      <c r="H7" s="7" t="s">
        <v>66</v>
      </c>
    </row>
    <row r="8" spans="1:8" ht="409.5" x14ac:dyDescent="0.25">
      <c r="A8" s="11" t="s">
        <v>1</v>
      </c>
      <c r="B8" s="6" t="s">
        <v>20</v>
      </c>
      <c r="C8" s="6">
        <v>26</v>
      </c>
      <c r="D8" s="6">
        <v>15</v>
      </c>
      <c r="E8" s="6">
        <v>32</v>
      </c>
      <c r="F8" s="6">
        <f t="shared" si="0"/>
        <v>73</v>
      </c>
      <c r="H8" s="7" t="s">
        <v>62</v>
      </c>
    </row>
    <row r="9" spans="1:8" ht="60" x14ac:dyDescent="0.25">
      <c r="A9" s="11" t="s">
        <v>9</v>
      </c>
      <c r="B9" s="6" t="s">
        <v>21</v>
      </c>
      <c r="C9" s="6">
        <v>28</v>
      </c>
      <c r="D9" s="6">
        <v>20</v>
      </c>
      <c r="E9" s="6">
        <v>50</v>
      </c>
      <c r="F9" s="6">
        <f t="shared" si="0"/>
        <v>98</v>
      </c>
      <c r="H9" s="7" t="s">
        <v>59</v>
      </c>
    </row>
    <row r="10" spans="1:8" ht="45" x14ac:dyDescent="0.25">
      <c r="A10" s="11" t="s">
        <v>2</v>
      </c>
      <c r="B10" s="6" t="s">
        <v>22</v>
      </c>
      <c r="C10" s="6">
        <v>30</v>
      </c>
      <c r="D10" s="6">
        <v>20</v>
      </c>
      <c r="E10" s="6">
        <v>38</v>
      </c>
      <c r="F10" s="6">
        <f t="shared" si="0"/>
        <v>88</v>
      </c>
      <c r="H10" s="7" t="s">
        <v>58</v>
      </c>
    </row>
    <row r="11" spans="1:8" ht="330" x14ac:dyDescent="0.25">
      <c r="A11" s="11" t="s">
        <v>10</v>
      </c>
      <c r="B11" s="6" t="s">
        <v>23</v>
      </c>
      <c r="C11" s="6">
        <v>30</v>
      </c>
      <c r="D11" s="6">
        <v>20</v>
      </c>
      <c r="E11" s="6">
        <v>44</v>
      </c>
      <c r="F11" s="6">
        <f t="shared" si="0"/>
        <v>94</v>
      </c>
      <c r="H11" s="7" t="s">
        <v>56</v>
      </c>
    </row>
    <row r="12" spans="1:8" ht="409.5" x14ac:dyDescent="0.25">
      <c r="A12" s="11" t="s">
        <v>11</v>
      </c>
      <c r="B12" s="6" t="s">
        <v>24</v>
      </c>
      <c r="C12" s="6">
        <v>25</v>
      </c>
      <c r="D12" s="6">
        <v>17</v>
      </c>
      <c r="E12" s="6">
        <v>32</v>
      </c>
      <c r="F12" s="6">
        <f t="shared" si="0"/>
        <v>74</v>
      </c>
      <c r="H12" s="7" t="s">
        <v>60</v>
      </c>
    </row>
    <row r="13" spans="1:8" ht="409.5" x14ac:dyDescent="0.25">
      <c r="A13" s="11" t="s">
        <v>12</v>
      </c>
      <c r="B13" s="6" t="s">
        <v>25</v>
      </c>
      <c r="C13" s="6">
        <v>24</v>
      </c>
      <c r="D13" s="6">
        <v>20</v>
      </c>
      <c r="E13" s="6">
        <v>45</v>
      </c>
      <c r="F13" s="6">
        <f t="shared" si="0"/>
        <v>89</v>
      </c>
      <c r="H13" s="7" t="s">
        <v>63</v>
      </c>
    </row>
  </sheetData>
  <sortState xmlns:xlrd2="http://schemas.microsoft.com/office/spreadsheetml/2017/richdata2" ref="A2:B19">
    <sortCondition ref="A2:A19"/>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DDE2F-938C-42B6-8B8E-72E583A4E6C4}">
  <dimension ref="A1:H9"/>
  <sheetViews>
    <sheetView workbookViewId="0">
      <selection activeCell="C6" sqref="C6"/>
    </sheetView>
  </sheetViews>
  <sheetFormatPr defaultRowHeight="15" x14ac:dyDescent="0.25"/>
  <sheetData>
    <row r="1" spans="1:8" x14ac:dyDescent="0.25">
      <c r="A1" s="4" t="s">
        <v>28</v>
      </c>
      <c r="B1" s="5">
        <v>0.95</v>
      </c>
      <c r="C1" s="5">
        <v>0.88</v>
      </c>
      <c r="D1" s="5">
        <v>0.8</v>
      </c>
      <c r="E1" s="5">
        <v>0.75</v>
      </c>
      <c r="F1" s="5">
        <v>0.65</v>
      </c>
      <c r="G1" s="5">
        <v>0.5</v>
      </c>
      <c r="H1" s="5">
        <v>0.25</v>
      </c>
    </row>
    <row r="3" spans="1:8" x14ac:dyDescent="0.25">
      <c r="A3">
        <v>50</v>
      </c>
      <c r="B3">
        <f>A3*0.95</f>
        <v>47.5</v>
      </c>
      <c r="C3">
        <f>A3*0.88</f>
        <v>44</v>
      </c>
      <c r="D3">
        <f>B3*0.8</f>
        <v>38</v>
      </c>
      <c r="E3">
        <f>A3*0.75</f>
        <v>37.5</v>
      </c>
      <c r="F3">
        <f>A3*0.65</f>
        <v>32.5</v>
      </c>
      <c r="G3">
        <f>A3*0.5</f>
        <v>25</v>
      </c>
      <c r="H3">
        <f>A3*0.25</f>
        <v>12.5</v>
      </c>
    </row>
    <row r="4" spans="1:8" x14ac:dyDescent="0.25">
      <c r="A4">
        <v>40</v>
      </c>
      <c r="B4">
        <f>A4*0.95</f>
        <v>38</v>
      </c>
      <c r="C4">
        <f>A4*0.88</f>
        <v>35.200000000000003</v>
      </c>
      <c r="D4">
        <f t="shared" ref="D4:D9" si="0">B4*0.8</f>
        <v>30.400000000000002</v>
      </c>
      <c r="E4">
        <f>A4*0.75</f>
        <v>30</v>
      </c>
      <c r="F4">
        <f>A4*0.65</f>
        <v>26</v>
      </c>
      <c r="G4">
        <f>A4*0.5</f>
        <v>20</v>
      </c>
      <c r="H4">
        <f>A4*0.25</f>
        <v>10</v>
      </c>
    </row>
    <row r="5" spans="1:8" x14ac:dyDescent="0.25">
      <c r="A5">
        <v>30</v>
      </c>
      <c r="B5">
        <f t="shared" ref="B5:B6" si="1">A5*0.95</f>
        <v>28.5</v>
      </c>
      <c r="C5">
        <f t="shared" ref="C5:C6" si="2">A5*0.88</f>
        <v>26.4</v>
      </c>
      <c r="D5">
        <f t="shared" si="0"/>
        <v>22.8</v>
      </c>
      <c r="E5">
        <f t="shared" ref="E5:E6" si="3">A5*0.75</f>
        <v>22.5</v>
      </c>
      <c r="F5">
        <f t="shared" ref="F5:F6" si="4">A5*0.65</f>
        <v>19.5</v>
      </c>
      <c r="G5">
        <f t="shared" ref="G5:G6" si="5">A5*0.5</f>
        <v>15</v>
      </c>
      <c r="H5">
        <f t="shared" ref="H5:H6" si="6">A5*0.25</f>
        <v>7.5</v>
      </c>
    </row>
    <row r="6" spans="1:8" x14ac:dyDescent="0.25">
      <c r="A6">
        <v>20</v>
      </c>
      <c r="B6">
        <f t="shared" si="1"/>
        <v>19</v>
      </c>
      <c r="C6">
        <f t="shared" si="2"/>
        <v>17.600000000000001</v>
      </c>
      <c r="D6">
        <f t="shared" si="0"/>
        <v>15.200000000000001</v>
      </c>
      <c r="E6">
        <f t="shared" si="3"/>
        <v>15</v>
      </c>
      <c r="F6">
        <f t="shared" si="4"/>
        <v>13</v>
      </c>
      <c r="G6">
        <f t="shared" si="5"/>
        <v>10</v>
      </c>
      <c r="H6">
        <f t="shared" si="6"/>
        <v>5</v>
      </c>
    </row>
    <row r="7" spans="1:8" x14ac:dyDescent="0.25">
      <c r="A7">
        <v>15</v>
      </c>
      <c r="B7">
        <f t="shared" ref="B7:B9" si="7">A7*0.95</f>
        <v>14.25</v>
      </c>
      <c r="C7">
        <f t="shared" ref="C7:C9" si="8">A7*0.88</f>
        <v>13.2</v>
      </c>
      <c r="D7">
        <f t="shared" si="0"/>
        <v>11.4</v>
      </c>
      <c r="E7">
        <f t="shared" ref="E7:E9" si="9">A7*0.75</f>
        <v>11.25</v>
      </c>
      <c r="F7">
        <f t="shared" ref="F7:F9" si="10">A7*0.65</f>
        <v>9.75</v>
      </c>
      <c r="G7">
        <f t="shared" ref="G7:G9" si="11">A7*0.5</f>
        <v>7.5</v>
      </c>
      <c r="H7">
        <f t="shared" ref="H7:H9" si="12">A7*0.25</f>
        <v>3.75</v>
      </c>
    </row>
    <row r="8" spans="1:8" x14ac:dyDescent="0.25">
      <c r="A8">
        <v>10</v>
      </c>
      <c r="B8">
        <f t="shared" si="7"/>
        <v>9.5</v>
      </c>
      <c r="C8">
        <f t="shared" si="8"/>
        <v>8.8000000000000007</v>
      </c>
      <c r="D8">
        <f t="shared" si="0"/>
        <v>7.6000000000000005</v>
      </c>
      <c r="E8">
        <f t="shared" si="9"/>
        <v>7.5</v>
      </c>
      <c r="F8">
        <f t="shared" si="10"/>
        <v>6.5</v>
      </c>
      <c r="G8">
        <f t="shared" si="11"/>
        <v>5</v>
      </c>
      <c r="H8">
        <f t="shared" si="12"/>
        <v>2.5</v>
      </c>
    </row>
    <row r="9" spans="1:8" x14ac:dyDescent="0.25">
      <c r="A9">
        <v>4</v>
      </c>
      <c r="B9">
        <f t="shared" si="7"/>
        <v>3.8</v>
      </c>
      <c r="C9">
        <f t="shared" si="8"/>
        <v>3.52</v>
      </c>
      <c r="D9">
        <f t="shared" si="0"/>
        <v>3.04</v>
      </c>
      <c r="E9">
        <f t="shared" si="9"/>
        <v>3</v>
      </c>
      <c r="F9">
        <f t="shared" si="10"/>
        <v>2.6</v>
      </c>
      <c r="G9">
        <f t="shared" si="11"/>
        <v>2</v>
      </c>
      <c r="H9">
        <f t="shared" si="12"/>
        <v>1</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657E7-058E-47EA-9E7C-EF9D8C29EE78}">
  <dimension ref="A1:C12"/>
  <sheetViews>
    <sheetView workbookViewId="0">
      <selection activeCell="C7" sqref="C7"/>
    </sheetView>
  </sheetViews>
  <sheetFormatPr defaultRowHeight="15" x14ac:dyDescent="0.25"/>
  <cols>
    <col min="1" max="1" width="33.42578125" style="1" customWidth="1"/>
    <col min="2" max="2" width="23.7109375" style="1" customWidth="1"/>
    <col min="3" max="3" width="104" style="1" customWidth="1"/>
  </cols>
  <sheetData>
    <row r="1" spans="1:3" x14ac:dyDescent="0.25">
      <c r="A1" s="3" t="s">
        <v>28</v>
      </c>
      <c r="B1" s="3" t="s">
        <v>29</v>
      </c>
      <c r="C1" s="3" t="s">
        <v>30</v>
      </c>
    </row>
    <row r="3" spans="1:3" ht="60" x14ac:dyDescent="0.25">
      <c r="A3" s="1" t="s">
        <v>31</v>
      </c>
      <c r="B3" s="1" t="s">
        <v>32</v>
      </c>
      <c r="C3" s="1" t="s">
        <v>33</v>
      </c>
    </row>
    <row r="4" spans="1:3" ht="90" x14ac:dyDescent="0.25">
      <c r="A4" s="1" t="s">
        <v>34</v>
      </c>
      <c r="B4" s="1" t="s">
        <v>35</v>
      </c>
      <c r="C4" s="1" t="s">
        <v>36</v>
      </c>
    </row>
    <row r="5" spans="1:3" ht="75" x14ac:dyDescent="0.25">
      <c r="A5" s="1" t="s">
        <v>37</v>
      </c>
      <c r="B5" s="1" t="s">
        <v>38</v>
      </c>
      <c r="C5" s="1" t="s">
        <v>39</v>
      </c>
    </row>
    <row r="6" spans="1:3" ht="60" x14ac:dyDescent="0.25">
      <c r="A6" s="1" t="s">
        <v>40</v>
      </c>
      <c r="B6" s="1" t="s">
        <v>41</v>
      </c>
      <c r="C6" s="1" t="s">
        <v>42</v>
      </c>
    </row>
    <row r="7" spans="1:3" ht="45" x14ac:dyDescent="0.25">
      <c r="A7" s="1" t="s">
        <v>43</v>
      </c>
      <c r="B7" s="1" t="s">
        <v>44</v>
      </c>
      <c r="C7" s="1" t="s">
        <v>45</v>
      </c>
    </row>
    <row r="8" spans="1:3" ht="90" x14ac:dyDescent="0.25">
      <c r="A8" s="1" t="s">
        <v>46</v>
      </c>
      <c r="B8" s="1" t="s">
        <v>47</v>
      </c>
      <c r="C8" s="1" t="s">
        <v>48</v>
      </c>
    </row>
    <row r="9" spans="1:3" ht="30" x14ac:dyDescent="0.25">
      <c r="A9" s="1" t="s">
        <v>49</v>
      </c>
      <c r="B9" s="1" t="s">
        <v>50</v>
      </c>
      <c r="C9" s="1" t="s">
        <v>51</v>
      </c>
    </row>
    <row r="12" spans="1:3" x14ac:dyDescent="0.25">
      <c r="B12" s="2"/>
      <c r="C12"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Grading</vt:lpstr>
      <vt:lpstr>Fractions</vt:lpstr>
      <vt:lpstr>Grading Scale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Tanweer Alam</cp:lastModifiedBy>
  <dcterms:created xsi:type="dcterms:W3CDTF">2023-08-24T18:47:47Z</dcterms:created>
  <dcterms:modified xsi:type="dcterms:W3CDTF">2026-03-12T20:41:31Z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d54f1a3-9ed5-415d-ba95-38401c4b8817_Enabled">
    <vt:lpwstr>true</vt:lpwstr>
  </property>
  <property fmtid="{D5CDD505-2E9C-101B-9397-08002B2CF9AE}" pid="3" name="MSIP_Label_5d54f1a3-9ed5-415d-ba95-38401c4b8817_SetDate">
    <vt:lpwstr>2023-08-28T01:15:56Z</vt:lpwstr>
  </property>
  <property fmtid="{D5CDD505-2E9C-101B-9397-08002B2CF9AE}" pid="4" name="MSIP_Label_5d54f1a3-9ed5-415d-ba95-38401c4b8817_Method">
    <vt:lpwstr>Standard</vt:lpwstr>
  </property>
  <property fmtid="{D5CDD505-2E9C-101B-9397-08002B2CF9AE}" pid="5" name="MSIP_Label_5d54f1a3-9ed5-415d-ba95-38401c4b8817_Name">
    <vt:lpwstr>Peraton Proprietary</vt:lpwstr>
  </property>
  <property fmtid="{D5CDD505-2E9C-101B-9397-08002B2CF9AE}" pid="6" name="MSIP_Label_5d54f1a3-9ed5-415d-ba95-38401c4b8817_SiteId">
    <vt:lpwstr>2a6ae295-f13d-4948-ba78-332742ce9097</vt:lpwstr>
  </property>
  <property fmtid="{D5CDD505-2E9C-101B-9397-08002B2CF9AE}" pid="7" name="MSIP_Label_5d54f1a3-9ed5-415d-ba95-38401c4b8817_ActionId">
    <vt:lpwstr>10d55ea0-8e20-46ad-a7ad-c8238a4f8e1c</vt:lpwstr>
  </property>
  <property fmtid="{D5CDD505-2E9C-101B-9397-08002B2CF9AE}" pid="8" name="MSIP_Label_5d54f1a3-9ed5-415d-ba95-38401c4b8817_ContentBits">
    <vt:lpwstr>1</vt:lpwstr>
  </property>
</Properties>
</file>