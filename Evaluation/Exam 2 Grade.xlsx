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F:\GIT\00 daily\DailyFolder\Evaluation\"/>
    </mc:Choice>
  </mc:AlternateContent>
  <xr:revisionPtr revIDLastSave="0" documentId="13_ncr:1_{277CB339-DE9B-4B65-9744-3B7543DBB061}" xr6:coauthVersionLast="47" xr6:coauthVersionMax="47" xr10:uidLastSave="{00000000-0000-0000-0000-000000000000}"/>
  <bookViews>
    <workbookView xWindow="0" yWindow="15" windowWidth="45660" windowHeight="20910" xr2:uid="{00000000-000D-0000-FFFF-FFFF00000000}"/>
  </bookViews>
  <sheets>
    <sheet name="Grading" sheetId="1" r:id="rId1"/>
    <sheet name="Fractions" sheetId="4" r:id="rId2"/>
    <sheet name="Grading Scale"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 l="1"/>
  <c r="F4" i="1"/>
  <c r="F5" i="1"/>
  <c r="F6" i="1"/>
  <c r="F7" i="1"/>
  <c r="F8" i="1"/>
  <c r="F9" i="1"/>
  <c r="F10" i="1"/>
  <c r="F11" i="1"/>
  <c r="F12" i="1"/>
  <c r="F13" i="1"/>
  <c r="F2" i="1"/>
  <c r="B3" i="4"/>
  <c r="C3" i="4"/>
  <c r="D3" i="4"/>
  <c r="E3" i="4"/>
  <c r="F3" i="4"/>
  <c r="G3" i="4"/>
  <c r="B7" i="4"/>
  <c r="C7" i="4"/>
  <c r="D7" i="4"/>
  <c r="E7" i="4"/>
  <c r="F7" i="4"/>
  <c r="G7" i="4"/>
  <c r="B8" i="4"/>
  <c r="C8" i="4"/>
  <c r="D8" i="4"/>
  <c r="E8" i="4"/>
  <c r="F8" i="4"/>
  <c r="G8" i="4"/>
  <c r="G6" i="4"/>
  <c r="F6" i="4"/>
  <c r="E6" i="4"/>
  <c r="D6" i="4"/>
  <c r="C6" i="4"/>
  <c r="B6" i="4"/>
  <c r="G5" i="4"/>
  <c r="F5" i="4"/>
  <c r="E5" i="4"/>
  <c r="D5" i="4"/>
  <c r="C5" i="4"/>
  <c r="B5" i="4"/>
  <c r="G4" i="4"/>
  <c r="F4" i="4"/>
  <c r="E4" i="4"/>
  <c r="D4" i="4"/>
  <c r="C4" i="4"/>
  <c r="B4" i="4"/>
</calcChain>
</file>

<file path=xl/sharedStrings.xml><?xml version="1.0" encoding="utf-8"?>
<sst xmlns="http://schemas.openxmlformats.org/spreadsheetml/2006/main" count="57" uniqueCount="56">
  <si>
    <t>Name</t>
  </si>
  <si>
    <t>Palocy,Molly Elizabeth</t>
  </si>
  <si>
    <t>Prinstein,Justin M</t>
  </si>
  <si>
    <t>Cunningham,Hayden</t>
  </si>
  <si>
    <t>Donfack Tazanou,Karl Loic</t>
  </si>
  <si>
    <t>Goonatillake,Anouka Don Anouka Matthew</t>
  </si>
  <si>
    <t>Jancewicz,Theo Lyn</t>
  </si>
  <si>
    <t>Kim,Esther</t>
  </si>
  <si>
    <t>Oladejo,Sadiq Iyanda</t>
  </si>
  <si>
    <t>Pita,Gregory Edward</t>
  </si>
  <si>
    <t>Shimer,Olivia Mae</t>
  </si>
  <si>
    <t>Sudhi,Shriyans</t>
  </si>
  <si>
    <t>Taylor,Noah A</t>
  </si>
  <si>
    <t>git Username</t>
  </si>
  <si>
    <t>hc3155</t>
  </si>
  <si>
    <t>kd-237</t>
  </si>
  <si>
    <t>An0uka1</t>
  </si>
  <si>
    <t>Theo-Jance</t>
  </si>
  <si>
    <t>ek1031-alt</t>
  </si>
  <si>
    <t>Sad837</t>
  </si>
  <si>
    <t>MollyHitsDifferent</t>
  </si>
  <si>
    <t>gregorious-pita</t>
  </si>
  <si>
    <t>JPrinstein</t>
  </si>
  <si>
    <t>oms7462-code</t>
  </si>
  <si>
    <t>shriyanss</t>
  </si>
  <si>
    <t>NoahatCompSci</t>
  </si>
  <si>
    <t>Sum</t>
  </si>
  <si>
    <t>Final</t>
  </si>
  <si>
    <t>Grade</t>
  </si>
  <si>
    <t>Grading Scale</t>
  </si>
  <si>
    <t>Description</t>
  </si>
  <si>
    <t>Exceptional Performance</t>
  </si>
  <si>
    <t>5 (100%)</t>
  </si>
  <si>
    <t>The solution is complete and correct. Instructions were followed completely.
or
The student made a small number of minor errors for the first time, e.g. wrongly named files, output that does not match specifications, etc. A warning should be issued regarding any errors.</t>
  </si>
  <si>
    <t>Competent Performance</t>
  </si>
  <si>
    <t>4 (95%)</t>
  </si>
  <si>
    <t>The solution is functionally complete other than a small number of functional errors. Instructions were followed completely.
or
The solution is complete and correct but the student made a small number of errors that they heve made at least once before, e.g. wrongly named files, output that does not match specifications, etc. An explanation should be issued regarding any of these errors. Instructions were followed completely.</t>
  </si>
  <si>
    <t>Acceptable Performance</t>
  </si>
  <si>
    <t>3 (88%)</t>
  </si>
  <si>
    <t>The solution includes at least 80% of the required functionality and all instructions have been followed.
or
The student's effort is obvious based on the volume of work and commit history, but there are a modest number of errors that range from relatively minor to significant that can be easily fixed by a member of the course staff with minimal effort.</t>
  </si>
  <si>
    <t>Developing Performance</t>
  </si>
  <si>
    <t>2 (75%)</t>
  </si>
  <si>
    <t>The solution includes at least 50% of the required functionality and all instructions have been followed. The student's effort based on volume of work and commit history is obvious. There is at least some attempt to implement the missing functionality. Errors can be easily fixed by a member of the course staff in a short amount of time.</t>
  </si>
  <si>
    <t>Beginning Performance</t>
  </si>
  <si>
    <t>1 (50%)</t>
  </si>
  <si>
    <t>The student began the solution, and there is obvious effort, but more than 50% of the required functionality is missing or broken. This may include code that exists but does not compile and/OR run, but could be fixed with significant effort.</t>
  </si>
  <si>
    <t>Needs Improvements</t>
  </si>
  <si>
    <t>1 (25%)</t>
  </si>
  <si>
    <t>The solution shows some evidence of effort but does not demonstrate the desired learning outcomes.
Less than 50% of the required functionality is working.
There are serious errors that require significant effort to fix including code that does not compile or that crashes when executed.</t>
  </si>
  <si>
    <t>Unacceptable Performance</t>
  </si>
  <si>
    <t>0 (0%)</t>
  </si>
  <si>
    <t>Little or no effort. Almost all of the required functionality is missing. The commit history shows very little activity on behalf of the student.</t>
  </si>
  <si>
    <t>FeedBack</t>
  </si>
  <si>
    <t>Grade 1 - 30</t>
  </si>
  <si>
    <t>Grade 2 - 20</t>
  </si>
  <si>
    <t>Grade 3 - 50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</si>
</sst>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indexed="8"/>
      <name val="Calibri"/>
      <family val="2"/>
      <scheme val="minor"/>
    </font>
    <font>
      <b/>
      <sz val="10"/>
      <name val="Calibri"/>
      <family val="2"/>
    </font>
    <font>
      <sz val="11"/>
      <color indexed="8"/>
      <name val="Calibri"/>
      <family val="2"/>
      <scheme val="minor"/>
    </font>
    <font>
      <b/>
      <sz val="11"/>
      <color indexed="8"/>
      <name val="Calibri"/>
      <family val="2"/>
      <scheme val="minor"/>
    </font>
    <font>
      <sz val="11"/>
      <color rgb="FFFF0000"/>
      <name val="Calibri"/>
      <family val="2"/>
      <scheme val="minor"/>
    </font>
  </fonts>
  <fills count="4">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cellStyleXfs>
  <cellXfs count="13">
    <xf numFmtId="0" fontId="0" fillId="0" borderId="0" xfId="0"/>
    <xf numFmtId="0" fontId="0" fillId="0" borderId="0" xfId="0" applyAlignment="1">
      <alignment horizontal="left" vertical="top" wrapText="1"/>
    </xf>
    <xf numFmtId="9" fontId="0" fillId="0" borderId="0" xfId="0" applyNumberFormat="1" applyAlignment="1">
      <alignment horizontal="left" vertical="top" wrapText="1"/>
    </xf>
    <xf numFmtId="0" fontId="3" fillId="2" borderId="0" xfId="0" applyFont="1" applyFill="1" applyAlignment="1">
      <alignment horizontal="left" vertical="top" wrapText="1"/>
    </xf>
    <xf numFmtId="0" fontId="3" fillId="2" borderId="0" xfId="0" applyFont="1" applyFill="1"/>
    <xf numFmtId="9" fontId="3" fillId="2" borderId="0" xfId="0" applyNumberFormat="1" applyFont="1" applyFill="1"/>
    <xf numFmtId="0" fontId="0" fillId="0" borderId="0" xfId="0" applyAlignment="1">
      <alignment vertical="top"/>
    </xf>
    <xf numFmtId="0" fontId="0" fillId="0" borderId="0" xfId="0" applyAlignment="1">
      <alignment vertical="top" wrapText="1"/>
    </xf>
    <xf numFmtId="0" fontId="1" fillId="3" borderId="1" xfId="0" applyFont="1" applyFill="1" applyBorder="1" applyAlignment="1">
      <alignment vertical="top"/>
    </xf>
    <xf numFmtId="0" fontId="3" fillId="3" borderId="0" xfId="0" applyFont="1" applyFill="1" applyAlignment="1">
      <alignment vertical="top"/>
    </xf>
    <xf numFmtId="0" fontId="0" fillId="0" borderId="0" xfId="0" applyFill="1" applyAlignment="1">
      <alignment vertical="top"/>
    </xf>
    <xf numFmtId="0" fontId="4" fillId="0" borderId="0" xfId="0" applyFont="1" applyFill="1" applyAlignment="1">
      <alignment vertical="top"/>
    </xf>
    <xf numFmtId="0" fontId="4" fillId="0" borderId="0" xfId="0" applyFont="1" applyAlignment="1">
      <alignment vertical="top"/>
    </xf>
  </cellXfs>
  <cellStyles count="2">
    <cellStyle name="Normal" xfId="0" builtinId="0"/>
    <cellStyle name="Normal 2" xfId="1" xr:uid="{40CA8281-389A-415C-A831-AB0150B4A67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3"/>
  <sheetViews>
    <sheetView tabSelected="1" workbookViewId="0">
      <selection activeCell="C20" sqref="C20"/>
    </sheetView>
  </sheetViews>
  <sheetFormatPr defaultRowHeight="15" x14ac:dyDescent="0.25"/>
  <cols>
    <col min="1" max="1" width="40.28515625" style="6" customWidth="1"/>
    <col min="2" max="2" width="16.85546875" style="6" customWidth="1"/>
    <col min="3" max="3" width="43.28515625" style="6" customWidth="1"/>
    <col min="4" max="5" width="49" style="6" customWidth="1"/>
    <col min="6" max="6" width="18.42578125" style="6" customWidth="1"/>
    <col min="7" max="7" width="16.85546875" style="6" customWidth="1"/>
    <col min="8" max="8" width="63.28515625" style="6" customWidth="1"/>
    <col min="9" max="16384" width="9.140625" style="6"/>
  </cols>
  <sheetData>
    <row r="1" spans="1:8" x14ac:dyDescent="0.25">
      <c r="A1" s="8" t="s">
        <v>0</v>
      </c>
      <c r="B1" s="8" t="s">
        <v>13</v>
      </c>
      <c r="C1" s="9" t="s">
        <v>53</v>
      </c>
      <c r="D1" s="9" t="s">
        <v>54</v>
      </c>
      <c r="E1" s="9" t="s">
        <v>55</v>
      </c>
      <c r="F1" s="9" t="s">
        <v>26</v>
      </c>
      <c r="G1" s="9" t="s">
        <v>27</v>
      </c>
      <c r="H1" s="9" t="s">
        <v>52</v>
      </c>
    </row>
    <row r="2" spans="1:8" x14ac:dyDescent="0.25">
      <c r="A2" s="10" t="s">
        <v>3</v>
      </c>
      <c r="B2" s="6" t="s">
        <v>14</v>
      </c>
      <c r="F2" s="6">
        <f>SUM(C2,D2,E2)</f>
        <v>0</v>
      </c>
      <c r="H2" s="7"/>
    </row>
    <row r="3" spans="1:8" x14ac:dyDescent="0.25">
      <c r="A3" s="10" t="s">
        <v>4</v>
      </c>
      <c r="B3" s="6" t="s">
        <v>15</v>
      </c>
      <c r="F3" s="6">
        <f t="shared" ref="F3:F13" si="0">SUM(C3,D3,E3)</f>
        <v>0</v>
      </c>
      <c r="H3" s="7"/>
    </row>
    <row r="4" spans="1:8" x14ac:dyDescent="0.25">
      <c r="A4" s="10" t="s">
        <v>5</v>
      </c>
      <c r="B4" s="6" t="s">
        <v>16</v>
      </c>
      <c r="F4" s="6">
        <f t="shared" si="0"/>
        <v>0</v>
      </c>
      <c r="H4" s="7"/>
    </row>
    <row r="5" spans="1:8" x14ac:dyDescent="0.25">
      <c r="A5" s="10" t="s">
        <v>6</v>
      </c>
      <c r="B5" s="6" t="s">
        <v>17</v>
      </c>
      <c r="F5" s="6">
        <f t="shared" si="0"/>
        <v>0</v>
      </c>
      <c r="H5" s="7"/>
    </row>
    <row r="6" spans="1:8" x14ac:dyDescent="0.25">
      <c r="A6" s="11" t="s">
        <v>7</v>
      </c>
      <c r="B6" s="12" t="s">
        <v>18</v>
      </c>
      <c r="F6" s="6">
        <f t="shared" si="0"/>
        <v>0</v>
      </c>
      <c r="H6" s="7"/>
    </row>
    <row r="7" spans="1:8" x14ac:dyDescent="0.25">
      <c r="A7" s="10" t="s">
        <v>8</v>
      </c>
      <c r="B7" s="6" t="s">
        <v>19</v>
      </c>
      <c r="F7" s="6">
        <f t="shared" si="0"/>
        <v>0</v>
      </c>
      <c r="H7" s="7"/>
    </row>
    <row r="8" spans="1:8" x14ac:dyDescent="0.25">
      <c r="A8" s="10" t="s">
        <v>1</v>
      </c>
      <c r="B8" s="6" t="s">
        <v>20</v>
      </c>
      <c r="F8" s="6">
        <f t="shared" si="0"/>
        <v>0</v>
      </c>
      <c r="H8" s="7"/>
    </row>
    <row r="9" spans="1:8" x14ac:dyDescent="0.25">
      <c r="A9" s="10" t="s">
        <v>9</v>
      </c>
      <c r="B9" s="6" t="s">
        <v>21</v>
      </c>
      <c r="F9" s="6">
        <f t="shared" si="0"/>
        <v>0</v>
      </c>
      <c r="H9" s="7"/>
    </row>
    <row r="10" spans="1:8" x14ac:dyDescent="0.25">
      <c r="A10" s="10" t="s">
        <v>2</v>
      </c>
      <c r="B10" s="6" t="s">
        <v>22</v>
      </c>
      <c r="F10" s="6">
        <f t="shared" si="0"/>
        <v>0</v>
      </c>
      <c r="H10" s="7"/>
    </row>
    <row r="11" spans="1:8" x14ac:dyDescent="0.25">
      <c r="A11" s="10" t="s">
        <v>10</v>
      </c>
      <c r="B11" s="6" t="s">
        <v>23</v>
      </c>
      <c r="F11" s="6">
        <f t="shared" si="0"/>
        <v>0</v>
      </c>
      <c r="H11" s="7"/>
    </row>
    <row r="12" spans="1:8" x14ac:dyDescent="0.25">
      <c r="A12" s="10" t="s">
        <v>11</v>
      </c>
      <c r="B12" s="6" t="s">
        <v>24</v>
      </c>
      <c r="F12" s="6">
        <f t="shared" si="0"/>
        <v>0</v>
      </c>
      <c r="H12" s="7"/>
    </row>
    <row r="13" spans="1:8" x14ac:dyDescent="0.25">
      <c r="A13" s="10" t="s">
        <v>12</v>
      </c>
      <c r="B13" s="6" t="s">
        <v>25</v>
      </c>
      <c r="F13" s="6">
        <f t="shared" si="0"/>
        <v>0</v>
      </c>
      <c r="H13" s="7"/>
    </row>
  </sheetData>
  <sortState xmlns:xlrd2="http://schemas.microsoft.com/office/spreadsheetml/2017/richdata2" ref="A2:B19">
    <sortCondition ref="A2:A19"/>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DDE2F-938C-42B6-8B8E-72E583A4E6C4}">
  <dimension ref="A1:G8"/>
  <sheetViews>
    <sheetView workbookViewId="0">
      <selection activeCell="I6" sqref="I6"/>
    </sheetView>
  </sheetViews>
  <sheetFormatPr defaultRowHeight="15" x14ac:dyDescent="0.25"/>
  <sheetData>
    <row r="1" spans="1:7" x14ac:dyDescent="0.25">
      <c r="A1" s="4" t="s">
        <v>28</v>
      </c>
      <c r="B1" s="5">
        <v>0.95</v>
      </c>
      <c r="C1" s="5">
        <v>0.88</v>
      </c>
      <c r="D1" s="5">
        <v>0.75</v>
      </c>
      <c r="E1" s="5">
        <v>0.65</v>
      </c>
      <c r="F1" s="5">
        <v>0.5</v>
      </c>
      <c r="G1" s="5">
        <v>0.25</v>
      </c>
    </row>
    <row r="3" spans="1:7" x14ac:dyDescent="0.25">
      <c r="A3">
        <v>50</v>
      </c>
      <c r="B3">
        <f>A3*0.95</f>
        <v>47.5</v>
      </c>
      <c r="C3">
        <f>A3*0.88</f>
        <v>44</v>
      </c>
      <c r="D3">
        <f>A3*0.75</f>
        <v>37.5</v>
      </c>
      <c r="E3">
        <f>A3*0.65</f>
        <v>32.5</v>
      </c>
      <c r="F3">
        <f>A3*0.5</f>
        <v>25</v>
      </c>
      <c r="G3">
        <f>A3*0.25</f>
        <v>12.5</v>
      </c>
    </row>
    <row r="4" spans="1:7" x14ac:dyDescent="0.25">
      <c r="A4">
        <v>40</v>
      </c>
      <c r="B4">
        <f>A4*0.95</f>
        <v>38</v>
      </c>
      <c r="C4">
        <f>A4*0.88</f>
        <v>35.200000000000003</v>
      </c>
      <c r="D4">
        <f>A4*0.75</f>
        <v>30</v>
      </c>
      <c r="E4">
        <f>A4*0.65</f>
        <v>26</v>
      </c>
      <c r="F4">
        <f>A4*0.5</f>
        <v>20</v>
      </c>
      <c r="G4">
        <f>A4*0.25</f>
        <v>10</v>
      </c>
    </row>
    <row r="5" spans="1:7" x14ac:dyDescent="0.25">
      <c r="A5">
        <v>30</v>
      </c>
      <c r="B5">
        <f t="shared" ref="B5:B6" si="0">A5*0.95</f>
        <v>28.5</v>
      </c>
      <c r="C5">
        <f t="shared" ref="C5:C6" si="1">A5*0.88</f>
        <v>26.4</v>
      </c>
      <c r="D5">
        <f t="shared" ref="D5:D6" si="2">A5*0.75</f>
        <v>22.5</v>
      </c>
      <c r="E5">
        <f t="shared" ref="E5:E6" si="3">A5*0.65</f>
        <v>19.5</v>
      </c>
      <c r="F5">
        <f t="shared" ref="F5:F6" si="4">A5*0.5</f>
        <v>15</v>
      </c>
      <c r="G5">
        <f t="shared" ref="G5:G6" si="5">A5*0.25</f>
        <v>7.5</v>
      </c>
    </row>
    <row r="6" spans="1:7" x14ac:dyDescent="0.25">
      <c r="A6">
        <v>20</v>
      </c>
      <c r="B6">
        <f t="shared" si="0"/>
        <v>19</v>
      </c>
      <c r="C6">
        <f t="shared" si="1"/>
        <v>17.600000000000001</v>
      </c>
      <c r="D6">
        <f t="shared" si="2"/>
        <v>15</v>
      </c>
      <c r="E6">
        <f t="shared" si="3"/>
        <v>13</v>
      </c>
      <c r="F6">
        <f t="shared" si="4"/>
        <v>10</v>
      </c>
      <c r="G6">
        <f t="shared" si="5"/>
        <v>5</v>
      </c>
    </row>
    <row r="7" spans="1:7" x14ac:dyDescent="0.25">
      <c r="A7">
        <v>15</v>
      </c>
      <c r="B7">
        <f t="shared" ref="B7:B8" si="6">A7*0.95</f>
        <v>14.25</v>
      </c>
      <c r="C7">
        <f t="shared" ref="C7:C8" si="7">A7*0.88</f>
        <v>13.2</v>
      </c>
      <c r="D7">
        <f t="shared" ref="D7:D8" si="8">A7*0.75</f>
        <v>11.25</v>
      </c>
      <c r="E7">
        <f t="shared" ref="E7:E8" si="9">A7*0.65</f>
        <v>9.75</v>
      </c>
      <c r="F7">
        <f t="shared" ref="F7:F8" si="10">A7*0.5</f>
        <v>7.5</v>
      </c>
      <c r="G7">
        <f t="shared" ref="G7:G8" si="11">A7*0.25</f>
        <v>3.75</v>
      </c>
    </row>
    <row r="8" spans="1:7" x14ac:dyDescent="0.25">
      <c r="A8">
        <v>10</v>
      </c>
      <c r="B8">
        <f t="shared" si="6"/>
        <v>9.5</v>
      </c>
      <c r="C8">
        <f t="shared" si="7"/>
        <v>8.8000000000000007</v>
      </c>
      <c r="D8">
        <f t="shared" si="8"/>
        <v>7.5</v>
      </c>
      <c r="E8">
        <f t="shared" si="9"/>
        <v>6.5</v>
      </c>
      <c r="F8">
        <f t="shared" si="10"/>
        <v>5</v>
      </c>
      <c r="G8">
        <f t="shared" si="11"/>
        <v>2.5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657E7-058E-47EA-9E7C-EF9D8C29EE78}">
  <dimension ref="A1:C12"/>
  <sheetViews>
    <sheetView workbookViewId="0">
      <selection activeCell="C4" sqref="C4"/>
    </sheetView>
  </sheetViews>
  <sheetFormatPr defaultRowHeight="15" x14ac:dyDescent="0.25"/>
  <cols>
    <col min="1" max="1" width="33.42578125" style="1" customWidth="1"/>
    <col min="2" max="2" width="23.7109375" style="1" customWidth="1"/>
    <col min="3" max="3" width="104" style="1" customWidth="1"/>
  </cols>
  <sheetData>
    <row r="1" spans="1:3" x14ac:dyDescent="0.25">
      <c r="A1" s="3" t="s">
        <v>28</v>
      </c>
      <c r="B1" s="3" t="s">
        <v>29</v>
      </c>
      <c r="C1" s="3" t="s">
        <v>30</v>
      </c>
    </row>
    <row r="3" spans="1:3" ht="60" x14ac:dyDescent="0.25">
      <c r="A3" s="1" t="s">
        <v>31</v>
      </c>
      <c r="B3" s="1" t="s">
        <v>32</v>
      </c>
      <c r="C3" s="1" t="s">
        <v>33</v>
      </c>
    </row>
    <row r="4" spans="1:3" ht="90" x14ac:dyDescent="0.25">
      <c r="A4" s="1" t="s">
        <v>34</v>
      </c>
      <c r="B4" s="1" t="s">
        <v>35</v>
      </c>
      <c r="C4" s="1" t="s">
        <v>36</v>
      </c>
    </row>
    <row r="5" spans="1:3" ht="75" x14ac:dyDescent="0.25">
      <c r="A5" s="1" t="s">
        <v>37</v>
      </c>
      <c r="B5" s="1" t="s">
        <v>38</v>
      </c>
      <c r="C5" s="1" t="s">
        <v>39</v>
      </c>
    </row>
    <row r="6" spans="1:3" ht="60" x14ac:dyDescent="0.25">
      <c r="A6" s="1" t="s">
        <v>40</v>
      </c>
      <c r="B6" s="1" t="s">
        <v>41</v>
      </c>
      <c r="C6" s="1" t="s">
        <v>42</v>
      </c>
    </row>
    <row r="7" spans="1:3" ht="45" x14ac:dyDescent="0.25">
      <c r="A7" s="1" t="s">
        <v>43</v>
      </c>
      <c r="B7" s="1" t="s">
        <v>44</v>
      </c>
      <c r="C7" s="1" t="s">
        <v>45</v>
      </c>
    </row>
    <row r="8" spans="1:3" ht="90" x14ac:dyDescent="0.25">
      <c r="A8" s="1" t="s">
        <v>46</v>
      </c>
      <c r="B8" s="1" t="s">
        <v>47</v>
      </c>
      <c r="C8" s="1" t="s">
        <v>48</v>
      </c>
    </row>
    <row r="9" spans="1:3" ht="30" x14ac:dyDescent="0.25">
      <c r="A9" s="1" t="s">
        <v>49</v>
      </c>
      <c r="B9" s="1" t="s">
        <v>50</v>
      </c>
      <c r="C9" s="1" t="s">
        <v>51</v>
      </c>
    </row>
    <row r="12" spans="1:3" x14ac:dyDescent="0.25">
      <c r="B12" s="2"/>
      <c r="C12"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Grading</vt:lpstr>
      <vt:lpstr>Fractions</vt:lpstr>
      <vt:lpstr>Grading Scale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Tanweer Alam</cp:lastModifiedBy>
  <dcterms:created xsi:type="dcterms:W3CDTF">2023-08-24T18:47:47Z</dcterms:created>
  <dcterms:modified xsi:type="dcterms:W3CDTF">2026-03-04T16:23:44Z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d54f1a3-9ed5-415d-ba95-38401c4b8817_Enabled">
    <vt:lpwstr>true</vt:lpwstr>
  </property>
  <property fmtid="{D5CDD505-2E9C-101B-9397-08002B2CF9AE}" pid="3" name="MSIP_Label_5d54f1a3-9ed5-415d-ba95-38401c4b8817_SetDate">
    <vt:lpwstr>2023-08-28T01:15:56Z</vt:lpwstr>
  </property>
  <property fmtid="{D5CDD505-2E9C-101B-9397-08002B2CF9AE}" pid="4" name="MSIP_Label_5d54f1a3-9ed5-415d-ba95-38401c4b8817_Method">
    <vt:lpwstr>Standard</vt:lpwstr>
  </property>
  <property fmtid="{D5CDD505-2E9C-101B-9397-08002B2CF9AE}" pid="5" name="MSIP_Label_5d54f1a3-9ed5-415d-ba95-38401c4b8817_Name">
    <vt:lpwstr>Peraton Proprietary</vt:lpwstr>
  </property>
  <property fmtid="{D5CDD505-2E9C-101B-9397-08002B2CF9AE}" pid="6" name="MSIP_Label_5d54f1a3-9ed5-415d-ba95-38401c4b8817_SiteId">
    <vt:lpwstr>2a6ae295-f13d-4948-ba78-332742ce9097</vt:lpwstr>
  </property>
  <property fmtid="{D5CDD505-2E9C-101B-9397-08002B2CF9AE}" pid="7" name="MSIP_Label_5d54f1a3-9ed5-415d-ba95-38401c4b8817_ActionId">
    <vt:lpwstr>10d55ea0-8e20-46ad-a7ad-c8238a4f8e1c</vt:lpwstr>
  </property>
  <property fmtid="{D5CDD505-2E9C-101B-9397-08002B2CF9AE}" pid="8" name="MSIP_Label_5d54f1a3-9ed5-415d-ba95-38401c4b8817_ContentBits">
    <vt:lpwstr>1</vt:lpwstr>
  </property>
</Properties>
</file>